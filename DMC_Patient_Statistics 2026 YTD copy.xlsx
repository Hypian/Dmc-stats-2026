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gin\Downloads\"/>
    </mc:Choice>
  </mc:AlternateContent>
  <bookViews>
    <workbookView xWindow="0" yWindow="0" windowWidth="9870" windowHeight="4140" tabRatio="500"/>
  </bookViews>
  <sheets>
    <sheet name="Outpatient" sheetId="1" r:id="rId1"/>
    <sheet name="Inpatient" sheetId="2" r:id="rId2"/>
    <sheet name="Babies" sheetId="3" r:id="rId3"/>
    <sheet name="Births by Year" sheetId="4" r:id="rId4"/>
    <sheet name="Deaths" sheetId="5" r:id="rId5"/>
    <sheet name="Guide" sheetId="6" r:id="rId6"/>
  </sheets>
  <definedNames>
    <definedName name="_xlnm.Print_Area" localSheetId="2">Babies!$A$1:$H$21</definedName>
    <definedName name="_xlnm.Print_Area" localSheetId="3">'Births by Year'!$A$1:$G$20</definedName>
    <definedName name="_xlnm.Print_Area" localSheetId="4">Deaths!$A$1:$E$40</definedName>
    <definedName name="_xlnm.Print_Area" localSheetId="5">Guide!$A$1:$D$33</definedName>
    <definedName name="_xlnm.Print_Area" localSheetId="1">Inpatient!$A$1:$P$20</definedName>
    <definedName name="_xlnm.Print_Area" localSheetId="0">Outpatient!$A$1:$P$24</definedName>
    <definedName name="ReportYear">Outpatient!$P$6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1" i="6" l="1"/>
  <c r="C30" i="6"/>
  <c r="C28" i="6"/>
  <c r="C22" i="6"/>
  <c r="C21" i="6"/>
  <c r="C20" i="6"/>
  <c r="B3" i="6"/>
  <c r="B32" i="5"/>
  <c r="B31" i="5"/>
  <c r="B30" i="5"/>
  <c r="B29" i="5"/>
  <c r="B28" i="5"/>
  <c r="B27" i="5"/>
  <c r="B26" i="5"/>
  <c r="B21" i="5"/>
  <c r="A20" i="5"/>
  <c r="A19" i="5"/>
  <c r="A18" i="5"/>
  <c r="A17" i="5"/>
  <c r="A16" i="5"/>
  <c r="A15" i="5"/>
  <c r="A14" i="5"/>
  <c r="A13" i="5"/>
  <c r="A12" i="5"/>
  <c r="A11" i="5"/>
  <c r="A10" i="5"/>
  <c r="A9" i="5"/>
  <c r="C3" i="5"/>
  <c r="A16" i="4"/>
  <c r="G15" i="4"/>
  <c r="F15" i="4"/>
  <c r="E15" i="4"/>
  <c r="G14" i="4"/>
  <c r="F14" i="4"/>
  <c r="E14" i="4"/>
  <c r="G13" i="4"/>
  <c r="F13" i="4"/>
  <c r="E13" i="4"/>
  <c r="G12" i="4"/>
  <c r="F12" i="4"/>
  <c r="E12" i="4"/>
  <c r="G11" i="4"/>
  <c r="F11" i="4"/>
  <c r="E11" i="4"/>
  <c r="G10" i="4"/>
  <c r="F10" i="4"/>
  <c r="E10" i="4"/>
  <c r="F9" i="4"/>
  <c r="E9" i="4"/>
  <c r="C3" i="4"/>
  <c r="F21" i="3"/>
  <c r="D16" i="4" s="1"/>
  <c r="D21" i="3"/>
  <c r="D38" i="5" s="1"/>
  <c r="C21" i="3"/>
  <c r="C16" i="4" s="1"/>
  <c r="C17" i="4" s="1"/>
  <c r="B21" i="3"/>
  <c r="B16" i="4" s="1"/>
  <c r="B17" i="4" s="1"/>
  <c r="H20" i="3"/>
  <c r="G20" i="3"/>
  <c r="A20" i="3"/>
  <c r="H19" i="3"/>
  <c r="G19" i="3"/>
  <c r="A19" i="3"/>
  <c r="H18" i="3"/>
  <c r="G18" i="3"/>
  <c r="A18" i="3"/>
  <c r="H17" i="3"/>
  <c r="G17" i="3"/>
  <c r="A17" i="3"/>
  <c r="H16" i="3"/>
  <c r="G16" i="3"/>
  <c r="A16" i="3"/>
  <c r="H15" i="3"/>
  <c r="G15" i="3"/>
  <c r="A15" i="3"/>
  <c r="H14" i="3"/>
  <c r="G14" i="3"/>
  <c r="A14" i="3"/>
  <c r="H13" i="3"/>
  <c r="G13" i="3"/>
  <c r="A13" i="3"/>
  <c r="H12" i="3"/>
  <c r="G12" i="3"/>
  <c r="A12" i="3"/>
  <c r="H11" i="3"/>
  <c r="G11" i="3"/>
  <c r="A11" i="3"/>
  <c r="H10" i="3"/>
  <c r="G10" i="3"/>
  <c r="A10" i="3"/>
  <c r="H9" i="3"/>
  <c r="G9" i="3"/>
  <c r="A9" i="3"/>
  <c r="D3" i="3"/>
  <c r="M18" i="2"/>
  <c r="L18" i="2"/>
  <c r="K18" i="2"/>
  <c r="J18" i="2"/>
  <c r="I18" i="2"/>
  <c r="H18" i="2"/>
  <c r="G18" i="2"/>
  <c r="F18" i="2"/>
  <c r="E18" i="2"/>
  <c r="D18" i="2"/>
  <c r="C18" i="2"/>
  <c r="B18" i="2"/>
  <c r="O17" i="2"/>
  <c r="N17" i="2"/>
  <c r="O16" i="2"/>
  <c r="N16" i="2"/>
  <c r="O15" i="2"/>
  <c r="N15" i="2"/>
  <c r="O14" i="2"/>
  <c r="N14" i="2"/>
  <c r="O13" i="2"/>
  <c r="N13" i="2"/>
  <c r="O12" i="2"/>
  <c r="N12" i="2"/>
  <c r="O11" i="2"/>
  <c r="N11" i="2"/>
  <c r="O10" i="2"/>
  <c r="N10" i="2"/>
  <c r="O9" i="2"/>
  <c r="N9" i="2"/>
  <c r="M8" i="2"/>
  <c r="L8" i="2"/>
  <c r="K8" i="2"/>
  <c r="J8" i="2"/>
  <c r="I8" i="2"/>
  <c r="H8" i="2"/>
  <c r="G8" i="2"/>
  <c r="F8" i="2"/>
  <c r="E8" i="2"/>
  <c r="D8" i="2"/>
  <c r="C8" i="2"/>
  <c r="B8" i="2"/>
  <c r="F3" i="2"/>
  <c r="M22" i="1"/>
  <c r="L22" i="1"/>
  <c r="K22" i="1"/>
  <c r="J22" i="1"/>
  <c r="I22" i="1"/>
  <c r="H22" i="1"/>
  <c r="G22" i="1"/>
  <c r="F22" i="1"/>
  <c r="E22" i="1"/>
  <c r="D22" i="1"/>
  <c r="C22" i="1"/>
  <c r="B22" i="1"/>
  <c r="O21" i="1"/>
  <c r="N21" i="1"/>
  <c r="O20" i="1"/>
  <c r="N20" i="1"/>
  <c r="O19" i="1"/>
  <c r="N19" i="1"/>
  <c r="O18" i="1"/>
  <c r="N18" i="1"/>
  <c r="O17" i="1"/>
  <c r="N17" i="1"/>
  <c r="O16" i="1"/>
  <c r="N16" i="1"/>
  <c r="O15" i="1"/>
  <c r="N15" i="1"/>
  <c r="O14" i="1"/>
  <c r="N14" i="1"/>
  <c r="O13" i="1"/>
  <c r="N13" i="1"/>
  <c r="O12" i="1"/>
  <c r="N12" i="1"/>
  <c r="O11" i="1"/>
  <c r="N11" i="1"/>
  <c r="O10" i="1"/>
  <c r="N10" i="1"/>
  <c r="O9" i="1"/>
  <c r="N9" i="1"/>
  <c r="M8" i="1"/>
  <c r="L8" i="1"/>
  <c r="K8" i="1"/>
  <c r="J8" i="1"/>
  <c r="I8" i="1"/>
  <c r="H8" i="1"/>
  <c r="G8" i="1"/>
  <c r="F8" i="1"/>
  <c r="E8" i="1"/>
  <c r="D8" i="1"/>
  <c r="C8" i="1"/>
  <c r="B8" i="1"/>
  <c r="F3" i="1"/>
  <c r="G21" i="3" l="1"/>
  <c r="E16" i="4" s="1"/>
  <c r="E17" i="4" s="1"/>
  <c r="H21" i="3"/>
  <c r="O18" i="2"/>
  <c r="O22" i="1"/>
  <c r="C27" i="6"/>
  <c r="F16" i="4"/>
  <c r="B33" i="5"/>
  <c r="C24" i="6"/>
  <c r="D17" i="4"/>
  <c r="F17" i="4" s="1"/>
  <c r="D39" i="5"/>
  <c r="D40" i="5" s="1"/>
  <c r="C25" i="6"/>
  <c r="C29" i="6"/>
  <c r="C26" i="6"/>
  <c r="N18" i="2"/>
  <c r="P12" i="2" s="1"/>
  <c r="N22" i="1"/>
  <c r="P10" i="1" s="1"/>
  <c r="C23" i="6" l="1"/>
  <c r="P12" i="1"/>
  <c r="P13" i="1"/>
  <c r="P18" i="1"/>
  <c r="P20" i="1"/>
  <c r="P17" i="2"/>
  <c r="P9" i="2"/>
  <c r="B34" i="5"/>
  <c r="P15" i="2"/>
  <c r="P19" i="1"/>
  <c r="P15" i="1"/>
  <c r="P11" i="1"/>
  <c r="P9" i="1"/>
  <c r="P21" i="1"/>
  <c r="P13" i="2"/>
  <c r="P16" i="1"/>
  <c r="P14" i="2"/>
  <c r="P10" i="2"/>
  <c r="P17" i="1"/>
  <c r="P11" i="2"/>
  <c r="P14" i="1"/>
  <c r="P16" i="2"/>
  <c r="C29" i="5" l="1"/>
  <c r="C26" i="5"/>
  <c r="C32" i="5"/>
  <c r="C30" i="5"/>
  <c r="C27" i="5"/>
  <c r="C28" i="5"/>
  <c r="C31" i="5"/>
  <c r="P18" i="2"/>
  <c r="P22" i="1"/>
  <c r="C33" i="5"/>
  <c r="C34" i="5" l="1"/>
</calcChain>
</file>

<file path=xl/sharedStrings.xml><?xml version="1.0" encoding="utf-8"?>
<sst xmlns="http://schemas.openxmlformats.org/spreadsheetml/2006/main" count="164" uniqueCount="124">
  <si>
    <t>OUTPATIENT VISITS BY DEPARTMENT</t>
  </si>
  <si>
    <t>Type monthly counts in the cream cells (blue numbers). Grey cells and the total row calculate automatically - leave future months empty.</t>
  </si>
  <si>
    <t>REPORTING YEAR  (type here)</t>
  </si>
  <si>
    <t>Department</t>
  </si>
  <si>
    <t>Total</t>
  </si>
  <si>
    <t>Avg / month</t>
  </si>
  <si>
    <t>% of total</t>
  </si>
  <si>
    <t>Internal Medicine</t>
  </si>
  <si>
    <t>Pediatrics</t>
  </si>
  <si>
    <t>General Medicine</t>
  </si>
  <si>
    <t>Gynecology &amp; Obstetrics</t>
  </si>
  <si>
    <t>Dental</t>
  </si>
  <si>
    <t>Ophthalmology</t>
  </si>
  <si>
    <t>General Surgery</t>
  </si>
  <si>
    <t>Orthopedic Surgery</t>
  </si>
  <si>
    <t>Physiotherapy</t>
  </si>
  <si>
    <t>Urology</t>
  </si>
  <si>
    <t>ENT Service</t>
  </si>
  <si>
    <t>Emergency</t>
  </si>
  <si>
    <t>Vaccination</t>
  </si>
  <si>
    <t>TOTAL</t>
  </si>
  <si>
    <t>Avg / month is calculated over the months that have data. To add a department: select the last department row, right-click &gt; Insert, then copy the grey formulas down from the row above.</t>
  </si>
  <si>
    <t>INPATIENT ADMISSIONS BY DEPARTMENT</t>
  </si>
  <si>
    <t>Orthopedics</t>
  </si>
  <si>
    <t>Urology Surgery</t>
  </si>
  <si>
    <t>Neonatology</t>
  </si>
  <si>
    <t>DELIVERIES &amp; BABIES - MONTHLY</t>
  </si>
  <si>
    <t>Type monthly figures in the cream cells. Normal deliveries (SVD) = deliveries - caesareans, and the C-section rate are calculated for you.</t>
  </si>
  <si>
    <t>Month</t>
  </si>
  <si>
    <t>Deliveries at health facility</t>
  </si>
  <si>
    <t>Live births</t>
  </si>
  <si>
    <t>Baby deaths</t>
  </si>
  <si>
    <t>Circumstances of death</t>
  </si>
  <si>
    <t>Caesarean section deliveries</t>
  </si>
  <si>
    <t>Normal deliveries (SVD)</t>
  </si>
  <si>
    <t>C-section rate</t>
  </si>
  <si>
    <t>Still births macerated</t>
  </si>
  <si>
    <t>DELIVERIES &amp; BABIES - YEARLY TREND</t>
  </si>
  <si>
    <t>Years 2019-2025 are typed history (cream). The last row is linked to the Babies sheet and updates by itself.</t>
  </si>
  <si>
    <t>Year</t>
  </si>
  <si>
    <t>Caesarean sections</t>
  </si>
  <si>
    <t>Change in deliveries vs previous year</t>
  </si>
  <si>
    <t>ALL YEARS</t>
  </si>
  <si>
    <t>Source: 2019-2025 figures as supplied in PATIENTS_STATISTICS__2026.xlsx. The reporting-year row is partial, so no year-on-year change is shown for it.</t>
  </si>
  <si>
    <t>At year end: select the reporting-year row, right-click &gt; Insert, type that year and its final figures in cream cells, then copy the grey formulas down.</t>
  </si>
  <si>
    <t>DEATHS AT HEALTH FACILITY</t>
  </si>
  <si>
    <t>One row per month. If a month has a second death with a different department, insert a copy of the month row (right-click &gt; Insert Copied Cells) - the monthly totals add up.</t>
  </si>
  <si>
    <t>Deaths at the facility</t>
  </si>
  <si>
    <t>Age</t>
  </si>
  <si>
    <t>Circumstance</t>
  </si>
  <si>
    <t>Maternity</t>
  </si>
  <si>
    <t>Natural disease (cancer)</t>
  </si>
  <si>
    <t>Natural disease</t>
  </si>
  <si>
    <t>DEATHS BY DEPARTMENT</t>
  </si>
  <si>
    <t>Deaths</t>
  </si>
  <si>
    <t>% of deaths</t>
  </si>
  <si>
    <t>Surgery</t>
  </si>
  <si>
    <t>Other</t>
  </si>
  <si>
    <t>Not assigned</t>
  </si>
  <si>
    <t>CROSS-CHECK WITH THE BABIES SHEET</t>
  </si>
  <si>
    <t>Baby deaths recorded on the Babies sheet</t>
  </si>
  <si>
    <t>Maternity deaths recorded on this sheet</t>
  </si>
  <si>
    <t>Status</t>
  </si>
  <si>
    <t>HOW TO USE THIS WORKBOOK</t>
  </si>
  <si>
    <t>QUICK START</t>
  </si>
  <si>
    <t>1.  Set the year</t>
  </si>
  <si>
    <t>On the Outpatient sheet, type the reporting year in the yellow cell (top right, P6). Titles, month headers and the Babies / Deaths month rows on every sheet follow it automatically.</t>
  </si>
  <si>
    <t>2.  Enter the numbers</t>
  </si>
  <si>
    <t>Type each month's counts in the cream cells on Outpatient, Inpatient, Babies and Deaths. Leave months you have not reached empty.</t>
  </si>
  <si>
    <t>3.  Everything else updates</t>
  </si>
  <si>
    <t>Totals, averages, shares, rates and the yearly figures recalculate instantly. Never type over a grey cell.</t>
  </si>
  <si>
    <t>4.  Add a department</t>
  </si>
  <si>
    <t>Select the LAST department row (not TOTAL), right-click &gt; Insert, type the name, then copy the grey cells in columns N:P from the row above. Totals expand by themselves.</t>
  </si>
  <si>
    <t>5.  Start a new year</t>
  </si>
  <si>
    <t>Insert the finished year into the Births by Year sheet (see note under that table), change the year on the Outpatient sheet, then select the cream cells and press Delete.</t>
  </si>
  <si>
    <t>COLOUR KEY</t>
  </si>
  <si>
    <t>1,080</t>
  </si>
  <si>
    <t>Cream cell, blue number: an input - type or paste your figures here.</t>
  </si>
  <si>
    <t>8,472</t>
  </si>
  <si>
    <t>Grey cell, black number: a formula - calculated automatically, do not overwrite.</t>
  </si>
  <si>
    <t>2026</t>
  </si>
  <si>
    <t>Yellow cell: the reporting year (Outpatient sheet, P6) - the only setting in the workbook.</t>
  </si>
  <si>
    <t>FORMULA COOKBOOK  -  reusable patterns, with a live example from this workbook</t>
  </si>
  <si>
    <t>Task</t>
  </si>
  <si>
    <t>Formula pattern (change the cell references)</t>
  </si>
  <si>
    <t>Live example</t>
  </si>
  <si>
    <t>Notes</t>
  </si>
  <si>
    <t>Month total, ignoring blanks</t>
  </si>
  <si>
    <t>=IF(COUNT(B9:B21)=0,"",SUM(B9:B21))</t>
  </si>
  <si>
    <t>Stays empty until the first figure is typed, so future months look clean.</t>
  </si>
  <si>
    <t>Year total for one department</t>
  </si>
  <si>
    <t>=SUM(B9:M9)</t>
  </si>
  <si>
    <t>Covers all 12 months, so September-December are included automatically.</t>
  </si>
  <si>
    <t>Average per reported month</t>
  </si>
  <si>
    <t>=IFERROR(AVERAGE(B9:M9),"")</t>
  </si>
  <si>
    <t>AVERAGE skips empty months, so it is not dragged down by the future.</t>
  </si>
  <si>
    <t>Share of the total</t>
  </si>
  <si>
    <t>=IFERROR(N9/$N$22,"")</t>
  </si>
  <si>
    <t>Lock the total with $ so the formula can be copied down.</t>
  </si>
  <si>
    <t>Month-over-month change</t>
  </si>
  <si>
    <t>=IFERROR(C22/B22-1,"")</t>
  </si>
  <si>
    <t>Positive = growth. Returns empty if either month has no data.</t>
  </si>
  <si>
    <t>Rate / percentage</t>
  </si>
  <si>
    <t>=IFERROR(F21/B21,"")</t>
  </si>
  <si>
    <t>Here: caesarean sections / deliveries. Store percentages as fractions (0.45 = 45%).</t>
  </si>
  <si>
    <t>Latest month that has data</t>
  </si>
  <si>
    <t>=SUMPRODUCT(MAX((B22:M22&lt;&gt;"")*(COLUMN(B22:M22)-COLUMN(B22)+1)))</t>
  </si>
  <si>
    <t>Month number (1-12) of the last month that has a total.</t>
  </si>
  <si>
    <t>Months reported so far</t>
  </si>
  <si>
    <t>=COUNT(B22:M22)</t>
  </si>
  <si>
    <t>Counts the months that have a total.</t>
  </si>
  <si>
    <t>Look up one department in one month</t>
  </si>
  <si>
    <t>=INDEX(B9:M21,MATCH("Dental",A9:A21,0),3)</t>
  </si>
  <si>
    <t>Here: Dental in month 3 (March). Change the name or the month number.</t>
  </si>
  <si>
    <t>Busiest department</t>
  </si>
  <si>
    <t>=INDEX(A9:A21,MATCH(MAX(N9:N21),N9:N21,0))</t>
  </si>
  <si>
    <t>Returns the name with the highest year total.</t>
  </si>
  <si>
    <t>Add up by condition</t>
  </si>
  <si>
    <t>=SUMIFS(Deaths!B9:B20,Deaths!D9:D20,"Maternity")</t>
  </si>
  <si>
    <t>Sum one column where another column matches (department, circumstance, ...).</t>
  </si>
  <si>
    <t>Year-on-year growth</t>
  </si>
  <si>
    <t>=IFERROR(B15/B14-1,"")</t>
  </si>
  <si>
    <t>Compares one year with the previous one (full years only).</t>
  </si>
  <si>
    <t>Corrections made while building this template from PATIENTS_STATISTICS__2026.xlsx: Inpatient row totals now include August; the Babies death total now sums the monthly figures (it was typed as 2); SVD is calculated as deliveries - caesareans (April was typed as 61, the calculation gives 60); department names were tidied (e.g. OPHTALMOLOGY &gt; Ophthalmology).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</si>
</sst>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mmm"/>
    <numFmt numFmtId="165" formatCode="0.0%"/>
    <numFmt numFmtId="166" formatCode="mmmm\ yyyy"/>
    <numFmt numFmtId="167" formatCode="\+0.0%;\-0.0%;0.0%"/>
    <numFmt numFmtId="168" formatCode="0&quot; YTD&quot;"/>
    <numFmt numFmtId="169" formatCode="#,##0;\-#,##0;\-"/>
  </numFmts>
  <fonts count="15" x14ac:knownFonts="1">
    <font>
      <sz val="11"/>
      <color theme="1"/>
      <name val="Calibri"/>
      <family val="2"/>
      <charset val="1"/>
    </font>
    <font>
      <b/>
      <sz val="16"/>
      <color rgb="FF706058"/>
      <name val="Arial"/>
      <family val="2"/>
    </font>
    <font>
      <b/>
      <sz val="10"/>
      <color rgb="FFE84828"/>
      <name val="Arial"/>
      <family val="2"/>
    </font>
    <font>
      <i/>
      <sz val="9"/>
      <color rgb="FF706058"/>
      <name val="Arial"/>
      <family val="2"/>
    </font>
    <font>
      <b/>
      <sz val="9"/>
      <color rgb="FF706058"/>
      <name val="Arial"/>
      <family val="2"/>
    </font>
    <font>
      <b/>
      <sz val="12"/>
      <color rgb="FF0000FF"/>
      <name val="Arial"/>
      <family val="2"/>
    </font>
    <font>
      <b/>
      <sz val="10"/>
      <color rgb="FFFFFFFF"/>
      <name val="Arial"/>
      <family val="2"/>
    </font>
    <font>
      <sz val="10"/>
      <color rgb="FF3B3532"/>
      <name val="Arial"/>
      <family val="2"/>
    </font>
    <font>
      <sz val="10"/>
      <color rgb="FF0000FF"/>
      <name val="Arial"/>
      <family val="2"/>
    </font>
    <font>
      <b/>
      <sz val="10"/>
      <color rgb="FF3B3532"/>
      <name val="Arial"/>
      <family val="2"/>
    </font>
    <font>
      <i/>
      <sz val="8"/>
      <color rgb="FF706058"/>
      <name val="Arial"/>
      <family val="2"/>
    </font>
    <font>
      <b/>
      <sz val="10"/>
      <color rgb="FF0000FF"/>
      <name val="Arial"/>
      <family val="2"/>
    </font>
    <font>
      <b/>
      <sz val="11"/>
      <color rgb="FF706058"/>
      <name val="Arial"/>
      <family val="2"/>
    </font>
    <font>
      <i/>
      <sz val="10"/>
      <color rgb="FF706058"/>
      <name val="Arial"/>
      <family val="2"/>
    </font>
    <font>
      <sz val="9"/>
      <color rgb="FF706058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E84828"/>
        <bgColor rgb="FFC62828"/>
      </patternFill>
    </fill>
    <fill>
      <patternFill patternType="solid">
        <fgColor rgb="FFFFE699"/>
        <bgColor rgb="FFFFCC99"/>
      </patternFill>
    </fill>
    <fill>
      <patternFill patternType="solid">
        <fgColor rgb="FFFFF8E5"/>
        <bgColor rgb="FFF3F0EE"/>
      </patternFill>
    </fill>
    <fill>
      <patternFill patternType="solid">
        <fgColor rgb="FFF3F0EE"/>
        <bgColor rgb="FFFFF8E5"/>
      </patternFill>
    </fill>
    <fill>
      <patternFill patternType="solid">
        <fgColor rgb="FF706058"/>
        <bgColor rgb="FF808080"/>
      </patternFill>
    </fill>
  </fills>
  <borders count="5">
    <border>
      <left/>
      <right/>
      <top/>
      <bottom/>
      <diagonal/>
    </border>
    <border>
      <left style="thin">
        <color rgb="FF706058"/>
      </left>
      <right style="thin">
        <color rgb="FF706058"/>
      </right>
      <top style="thin">
        <color rgb="FF706058"/>
      </top>
      <bottom style="thin">
        <color rgb="FF706058"/>
      </bottom>
      <diagonal/>
    </border>
    <border>
      <left/>
      <right style="hair">
        <color rgb="FFE3DDD8"/>
      </right>
      <top/>
      <bottom style="thin">
        <color rgb="FFE3DDD8"/>
      </bottom>
      <diagonal/>
    </border>
    <border>
      <left/>
      <right/>
      <top/>
      <bottom style="medium">
        <color rgb="FF706058"/>
      </bottom>
      <diagonal/>
    </border>
    <border>
      <left style="thin">
        <color rgb="FFE3DDD8"/>
      </left>
      <right style="thin">
        <color rgb="FFE3DDD8"/>
      </right>
      <top style="thin">
        <color rgb="FFE3DDD8"/>
      </top>
      <bottom style="thin">
        <color rgb="FFE3DDD8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7" fillId="0" borderId="0" xfId="0" applyFont="1" applyAlignment="1">
      <alignment vertical="center" indent="1"/>
    </xf>
    <xf numFmtId="0" fontId="0" fillId="2" borderId="0" xfId="0" applyFill="1"/>
    <xf numFmtId="1" fontId="5" fillId="3" borderId="1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 indent="1"/>
    </xf>
    <xf numFmtId="164" fontId="6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0" borderId="2" xfId="0" applyFont="1" applyBorder="1" applyAlignment="1">
      <alignment horizontal="left" vertical="center" indent="1"/>
    </xf>
    <xf numFmtId="3" fontId="8" fillId="4" borderId="2" xfId="0" applyNumberFormat="1" applyFont="1" applyFill="1" applyBorder="1" applyAlignment="1">
      <alignment horizontal="right" vertical="center"/>
    </xf>
    <xf numFmtId="3" fontId="9" fillId="5" borderId="2" xfId="0" applyNumberFormat="1" applyFont="1" applyFill="1" applyBorder="1" applyAlignment="1">
      <alignment horizontal="right" vertical="center"/>
    </xf>
    <xf numFmtId="3" fontId="7" fillId="5" borderId="2" xfId="0" applyNumberFormat="1" applyFont="1" applyFill="1" applyBorder="1" applyAlignment="1">
      <alignment horizontal="right" vertical="center"/>
    </xf>
    <xf numFmtId="165" fontId="7" fillId="5" borderId="2" xfId="0" applyNumberFormat="1" applyFont="1" applyFill="1" applyBorder="1" applyAlignment="1">
      <alignment horizontal="right" vertical="center"/>
    </xf>
    <xf numFmtId="0" fontId="6" fillId="6" borderId="0" xfId="0" applyFont="1" applyFill="1" applyAlignment="1">
      <alignment horizontal="left" vertical="center" indent="1"/>
    </xf>
    <xf numFmtId="3" fontId="6" fillId="6" borderId="0" xfId="0" applyNumberFormat="1" applyFont="1" applyFill="1" applyAlignment="1">
      <alignment horizontal="right" vertical="center"/>
    </xf>
    <xf numFmtId="165" fontId="6" fillId="6" borderId="0" xfId="0" applyNumberFormat="1" applyFont="1" applyFill="1" applyAlignment="1">
      <alignment horizontal="right" vertical="center"/>
    </xf>
    <xf numFmtId="0" fontId="10" fillId="0" borderId="0" xfId="0" applyFont="1"/>
    <xf numFmtId="166" fontId="7" fillId="0" borderId="2" xfId="0" applyNumberFormat="1" applyFont="1" applyBorder="1" applyAlignment="1">
      <alignment horizontal="left" vertical="center" indent="1"/>
    </xf>
    <xf numFmtId="0" fontId="8" fillId="4" borderId="2" xfId="0" applyFont="1" applyFill="1" applyBorder="1" applyAlignment="1">
      <alignment horizontal="left" vertical="center" indent="1"/>
    </xf>
    <xf numFmtId="1" fontId="11" fillId="4" borderId="2" xfId="0" applyNumberFormat="1" applyFont="1" applyFill="1" applyBorder="1" applyAlignment="1">
      <alignment horizontal="center" vertical="center"/>
    </xf>
    <xf numFmtId="167" fontId="7" fillId="5" borderId="2" xfId="0" applyNumberFormat="1" applyFont="1" applyFill="1" applyBorder="1" applyAlignment="1">
      <alignment horizontal="right" vertical="center"/>
    </xf>
    <xf numFmtId="168" fontId="9" fillId="5" borderId="2" xfId="0" applyNumberFormat="1" applyFont="1" applyFill="1" applyBorder="1" applyAlignment="1">
      <alignment horizontal="center" vertical="center"/>
    </xf>
    <xf numFmtId="165" fontId="9" fillId="5" borderId="2" xfId="0" applyNumberFormat="1" applyFont="1" applyFill="1" applyBorder="1" applyAlignment="1">
      <alignment horizontal="right" vertical="center"/>
    </xf>
    <xf numFmtId="0" fontId="6" fillId="6" borderId="0" xfId="0" applyFont="1" applyFill="1" applyAlignment="1">
      <alignment horizontal="center" vertical="center"/>
    </xf>
    <xf numFmtId="0" fontId="12" fillId="0" borderId="3" xfId="0" applyFont="1" applyBorder="1"/>
    <xf numFmtId="0" fontId="0" fillId="0" borderId="3" xfId="0" applyBorder="1"/>
    <xf numFmtId="169" fontId="7" fillId="5" borderId="2" xfId="0" applyNumberFormat="1" applyFont="1" applyFill="1" applyBorder="1" applyAlignment="1">
      <alignment horizontal="right" vertical="center"/>
    </xf>
    <xf numFmtId="0" fontId="13" fillId="0" borderId="2" xfId="0" applyFont="1" applyBorder="1" applyAlignment="1">
      <alignment horizontal="left" vertical="center" indent="1"/>
    </xf>
    <xf numFmtId="0" fontId="9" fillId="0" borderId="0" xfId="0" applyFont="1" applyAlignment="1">
      <alignment vertical="center" indent="1"/>
    </xf>
    <xf numFmtId="0" fontId="9" fillId="5" borderId="2" xfId="0" applyFont="1" applyFill="1" applyBorder="1" applyAlignment="1">
      <alignment horizontal="right" vertical="center"/>
    </xf>
    <xf numFmtId="0" fontId="12" fillId="0" borderId="3" xfId="0" applyFont="1" applyBorder="1" applyAlignment="1">
      <alignment vertical="center"/>
    </xf>
    <xf numFmtId="0" fontId="9" fillId="0" borderId="0" xfId="0" applyFont="1" applyAlignment="1">
      <alignment vertical="top" indent="1"/>
    </xf>
    <xf numFmtId="0" fontId="8" fillId="4" borderId="4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indent="1"/>
    </xf>
    <xf numFmtId="0" fontId="6" fillId="2" borderId="0" xfId="0" applyFont="1" applyFill="1" applyAlignment="1">
      <alignment horizontal="center" vertical="center"/>
    </xf>
    <xf numFmtId="0" fontId="9" fillId="0" borderId="2" xfId="0" applyFont="1" applyBorder="1" applyAlignment="1">
      <alignment vertical="center" wrapText="1" indent="1"/>
    </xf>
    <xf numFmtId="0" fontId="14" fillId="0" borderId="2" xfId="0" applyFont="1" applyBorder="1" applyAlignment="1">
      <alignment vertical="center" wrapText="1" indent="1"/>
    </xf>
    <xf numFmtId="3" fontId="9" fillId="5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 wrapText="1" indent="1"/>
    </xf>
    <xf numFmtId="165" fontId="9" fillId="5" borderId="2" xfId="0" applyNumberFormat="1" applyFont="1" applyFill="1" applyBorder="1" applyAlignment="1">
      <alignment horizontal="center" vertical="center"/>
    </xf>
    <xf numFmtId="167" fontId="9" fillId="5" borderId="2" xfId="0" applyNumberFormat="1" applyFont="1" applyFill="1" applyBorder="1" applyAlignment="1">
      <alignment horizontal="center" vertical="center"/>
    </xf>
    <xf numFmtId="1" fontId="9" fillId="5" borderId="2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 vertical="top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7" fillId="0" borderId="0" xfId="0" applyFont="1" applyAlignment="1">
      <alignment vertical="center" indent="1"/>
    </xf>
  </cellXfs>
  <cellStyles count="1">
    <cellStyle name="Normal" xfId="0" builtinId="0"/>
  </cellStyles>
  <dxfs count="3">
    <dxf>
      <font>
        <b/>
        <color rgb="FFC62828"/>
        <name val="Arial"/>
      </font>
    </dxf>
    <dxf>
      <font>
        <b/>
        <color rgb="FF2E7D32"/>
        <name val="Arial"/>
      </font>
    </dxf>
    <dxf>
      <font>
        <b/>
        <color rgb="FFC62828"/>
        <name val="Arial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5"/>
      <rgbColor rgb="FFF3F0EE"/>
      <rgbColor rgb="FF660066"/>
      <rgbColor rgb="FFFF8080"/>
      <rgbColor rgb="FF0066CC"/>
      <rgbColor rgb="FFE3DD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4828"/>
      <rgbColor rgb="FF706058"/>
      <rgbColor rgb="FF969696"/>
      <rgbColor rgb="FF003366"/>
      <rgbColor rgb="FF2E7D32"/>
      <rgbColor rgb="FF003300"/>
      <rgbColor rgb="FF333300"/>
      <rgbColor rgb="FFC62828"/>
      <rgbColor rgb="FF993366"/>
      <rgbColor rgb="FF333399"/>
      <rgbColor rgb="FF3B353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1999860</xdr:colOff>
      <xdr:row>2</xdr:row>
      <xdr:rowOff>190080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2037960" cy="590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1999860</xdr:colOff>
      <xdr:row>2</xdr:row>
      <xdr:rowOff>190080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2037960" cy="590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910080</xdr:colOff>
      <xdr:row>2</xdr:row>
      <xdr:rowOff>190080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2037960" cy="590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1121760</xdr:colOff>
      <xdr:row>2</xdr:row>
      <xdr:rowOff>190080</xdr:rowOff>
    </xdr:to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2037960" cy="590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346320</xdr:colOff>
      <xdr:row>2</xdr:row>
      <xdr:rowOff>190080</xdr:rowOff>
    </xdr:to>
    <xdr:pic>
      <xdr:nvPicPr>
        <xdr:cNvPr id="4" name="Image 1" descr="Pictur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2037960" cy="590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2037960</xdr:colOff>
      <xdr:row>2</xdr:row>
      <xdr:rowOff>190080</xdr:rowOff>
    </xdr:to>
    <xdr:pic>
      <xdr:nvPicPr>
        <xdr:cNvPr id="5" name="Image 1" descr="Picture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2037960" cy="5900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4828"/>
    <pageSetUpPr fitToPage="1"/>
  </sheetPr>
  <dimension ref="A1:P24"/>
  <sheetViews>
    <sheetView showGridLines="0" tabSelected="1" zoomScale="70" zoomScaleNormal="70" workbookViewId="0">
      <selection activeCell="R14" sqref="R14"/>
    </sheetView>
  </sheetViews>
  <sheetFormatPr defaultColWidth="8.7109375" defaultRowHeight="15" x14ac:dyDescent="0.25"/>
  <cols>
    <col min="1" max="1" width="30" customWidth="1"/>
    <col min="2" max="13" width="9.5703125" customWidth="1"/>
    <col min="14" max="14" width="11" customWidth="1"/>
    <col min="15" max="16" width="12" customWidth="1"/>
  </cols>
  <sheetData>
    <row r="1" spans="1:16" ht="15.75" customHeight="1" x14ac:dyDescent="0.25">
      <c r="F1" s="44" t="s">
        <v>0</v>
      </c>
      <c r="G1" s="44"/>
      <c r="H1" s="44"/>
      <c r="I1" s="44"/>
      <c r="J1" s="44"/>
      <c r="K1" s="44"/>
      <c r="L1" s="44"/>
      <c r="M1" s="44"/>
      <c r="N1" s="44"/>
      <c r="O1" s="44"/>
      <c r="P1" s="44"/>
    </row>
    <row r="2" spans="1:16" ht="15.75" customHeight="1" x14ac:dyDescent="0.25"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</row>
    <row r="3" spans="1:16" ht="15.75" customHeight="1" x14ac:dyDescent="0.25">
      <c r="F3" s="45" t="str">
        <f>"Reporting year "&amp;ReportYear</f>
        <v>Reporting year 2026</v>
      </c>
      <c r="G3" s="45"/>
      <c r="H3" s="45"/>
      <c r="I3" s="45"/>
      <c r="J3" s="45"/>
      <c r="K3" s="45"/>
      <c r="L3" s="45"/>
      <c r="M3" s="45"/>
      <c r="N3" s="45"/>
      <c r="O3" s="45"/>
      <c r="P3" s="45"/>
    </row>
    <row r="4" spans="1:16" ht="4.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ht="7.5" customHeight="1" x14ac:dyDescent="0.25"/>
    <row r="6" spans="1:16" ht="30.75" customHeight="1" x14ac:dyDescent="0.25">
      <c r="A6" s="46" t="s">
        <v>1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7" t="s">
        <v>2</v>
      </c>
      <c r="M6" s="47"/>
      <c r="N6" s="47"/>
      <c r="O6" s="47"/>
      <c r="P6" s="3">
        <v>2026</v>
      </c>
    </row>
    <row r="7" spans="1:16" ht="6" customHeight="1" x14ac:dyDescent="0.25"/>
    <row r="8" spans="1:16" ht="24" customHeight="1" x14ac:dyDescent="0.25">
      <c r="A8" s="4" t="s">
        <v>3</v>
      </c>
      <c r="B8" s="5">
        <f>DATE(ReportYear,1,1)</f>
        <v>46023</v>
      </c>
      <c r="C8" s="5">
        <f>DATE(ReportYear,2,1)</f>
        <v>46054</v>
      </c>
      <c r="D8" s="5">
        <f>DATE(ReportYear,3,1)</f>
        <v>46082</v>
      </c>
      <c r="E8" s="5">
        <f>DATE(ReportYear,4,1)</f>
        <v>46113</v>
      </c>
      <c r="F8" s="5">
        <f>DATE(ReportYear,5,1)</f>
        <v>46143</v>
      </c>
      <c r="G8" s="5">
        <f>DATE(ReportYear,6,1)</f>
        <v>46174</v>
      </c>
      <c r="H8" s="5">
        <f>DATE(ReportYear,7,1)</f>
        <v>46204</v>
      </c>
      <c r="I8" s="5">
        <f>DATE(ReportYear,8,1)</f>
        <v>46235</v>
      </c>
      <c r="J8" s="5">
        <f>DATE(ReportYear,9,1)</f>
        <v>46266</v>
      </c>
      <c r="K8" s="5">
        <f>DATE(ReportYear,10,1)</f>
        <v>46296</v>
      </c>
      <c r="L8" s="5">
        <f>DATE(ReportYear,11,1)</f>
        <v>46327</v>
      </c>
      <c r="M8" s="5">
        <f>DATE(ReportYear,12,1)</f>
        <v>46357</v>
      </c>
      <c r="N8" s="6" t="s">
        <v>4</v>
      </c>
      <c r="O8" s="6" t="s">
        <v>5</v>
      </c>
      <c r="P8" s="6" t="s">
        <v>6</v>
      </c>
    </row>
    <row r="9" spans="1:16" ht="18.75" customHeight="1" x14ac:dyDescent="0.25">
      <c r="A9" s="7" t="s">
        <v>7</v>
      </c>
      <c r="B9" s="8">
        <v>1080</v>
      </c>
      <c r="C9" s="8">
        <v>965</v>
      </c>
      <c r="D9" s="8">
        <v>1016</v>
      </c>
      <c r="E9" s="8">
        <v>1031</v>
      </c>
      <c r="F9" s="8">
        <v>1123</v>
      </c>
      <c r="G9" s="8">
        <v>1079</v>
      </c>
      <c r="H9" s="8">
        <v>1105</v>
      </c>
      <c r="I9" s="8">
        <v>1073</v>
      </c>
      <c r="J9" s="8">
        <v>1093</v>
      </c>
      <c r="K9" s="8"/>
      <c r="L9" s="8"/>
      <c r="M9" s="8"/>
      <c r="N9" s="9">
        <f t="shared" ref="N9:N22" si="0">IF(COUNT(B9:M9)=0,"",SUM(B9:M9))</f>
        <v>9565</v>
      </c>
      <c r="O9" s="10">
        <f t="shared" ref="O9:O22" si="1">IFERROR(AVERAGE(B9:M9),"")</f>
        <v>1062.7777777777778</v>
      </c>
      <c r="P9" s="11">
        <f t="shared" ref="P9:P21" si="2">IFERROR(N9/$N$22,"")</f>
        <v>0.13223380429673459</v>
      </c>
    </row>
    <row r="10" spans="1:16" ht="18.75" customHeight="1" x14ac:dyDescent="0.25">
      <c r="A10" s="7" t="s">
        <v>8</v>
      </c>
      <c r="B10" s="8">
        <v>1508</v>
      </c>
      <c r="C10" s="8">
        <v>1629</v>
      </c>
      <c r="D10" s="8">
        <v>1740</v>
      </c>
      <c r="E10" s="8">
        <v>1321</v>
      </c>
      <c r="F10" s="8">
        <v>1579</v>
      </c>
      <c r="G10" s="8">
        <v>1487</v>
      </c>
      <c r="H10" s="8">
        <v>1191</v>
      </c>
      <c r="I10" s="8">
        <v>1099</v>
      </c>
      <c r="J10" s="8">
        <v>1324</v>
      </c>
      <c r="K10" s="8"/>
      <c r="L10" s="8"/>
      <c r="M10" s="8"/>
      <c r="N10" s="9">
        <f t="shared" si="0"/>
        <v>12878</v>
      </c>
      <c r="O10" s="10">
        <f t="shared" si="1"/>
        <v>1430.8888888888889</v>
      </c>
      <c r="P10" s="11">
        <f t="shared" si="2"/>
        <v>0.17803522548179279</v>
      </c>
    </row>
    <row r="11" spans="1:16" ht="18.75" customHeight="1" x14ac:dyDescent="0.25">
      <c r="A11" s="7" t="s">
        <v>9</v>
      </c>
      <c r="B11" s="8">
        <v>1355</v>
      </c>
      <c r="C11" s="8">
        <v>1281</v>
      </c>
      <c r="D11" s="8">
        <v>1540</v>
      </c>
      <c r="E11" s="8">
        <v>1361</v>
      </c>
      <c r="F11" s="8">
        <v>1332</v>
      </c>
      <c r="G11" s="8">
        <v>1560</v>
      </c>
      <c r="H11" s="8">
        <v>1342</v>
      </c>
      <c r="I11" s="8">
        <v>1515</v>
      </c>
      <c r="J11" s="8">
        <v>1490</v>
      </c>
      <c r="K11" s="8"/>
      <c r="L11" s="8"/>
      <c r="M11" s="8"/>
      <c r="N11" s="9">
        <f t="shared" si="0"/>
        <v>12776</v>
      </c>
      <c r="O11" s="10">
        <f t="shared" si="1"/>
        <v>1419.5555555555557</v>
      </c>
      <c r="P11" s="11">
        <f t="shared" si="2"/>
        <v>0.17662510022949096</v>
      </c>
    </row>
    <row r="12" spans="1:16" ht="18.75" customHeight="1" x14ac:dyDescent="0.25">
      <c r="A12" s="7" t="s">
        <v>10</v>
      </c>
      <c r="B12" s="8">
        <v>1218</v>
      </c>
      <c r="C12" s="8">
        <v>1095</v>
      </c>
      <c r="D12" s="8">
        <v>1095</v>
      </c>
      <c r="E12" s="8">
        <v>1103</v>
      </c>
      <c r="F12" s="8">
        <v>1181</v>
      </c>
      <c r="G12" s="8">
        <v>1033</v>
      </c>
      <c r="H12" s="8">
        <v>1136</v>
      </c>
      <c r="I12" s="8">
        <v>1091</v>
      </c>
      <c r="J12" s="8">
        <v>1174</v>
      </c>
      <c r="K12" s="8"/>
      <c r="L12" s="8"/>
      <c r="M12" s="8"/>
      <c r="N12" s="9">
        <f t="shared" si="0"/>
        <v>10126</v>
      </c>
      <c r="O12" s="10">
        <f t="shared" si="1"/>
        <v>1125.1111111111111</v>
      </c>
      <c r="P12" s="11">
        <f t="shared" si="2"/>
        <v>0.1399894931843946</v>
      </c>
    </row>
    <row r="13" spans="1:16" ht="18.75" customHeight="1" x14ac:dyDescent="0.25">
      <c r="A13" s="7" t="s">
        <v>11</v>
      </c>
      <c r="B13" s="8">
        <v>324</v>
      </c>
      <c r="C13" s="8">
        <v>314</v>
      </c>
      <c r="D13" s="8">
        <v>345</v>
      </c>
      <c r="E13" s="8">
        <v>327</v>
      </c>
      <c r="F13" s="8">
        <v>268</v>
      </c>
      <c r="G13" s="8">
        <v>305</v>
      </c>
      <c r="H13" s="8">
        <v>333</v>
      </c>
      <c r="I13" s="8">
        <v>333</v>
      </c>
      <c r="J13" s="8">
        <v>416</v>
      </c>
      <c r="K13" s="8"/>
      <c r="L13" s="8"/>
      <c r="M13" s="8"/>
      <c r="N13" s="9">
        <f t="shared" si="0"/>
        <v>2965</v>
      </c>
      <c r="O13" s="10">
        <f t="shared" si="1"/>
        <v>329.44444444444446</v>
      </c>
      <c r="P13" s="11">
        <f t="shared" si="2"/>
        <v>4.0990405618381395E-2</v>
      </c>
    </row>
    <row r="14" spans="1:16" ht="18.75" customHeight="1" x14ac:dyDescent="0.25">
      <c r="A14" s="7" t="s">
        <v>12</v>
      </c>
      <c r="B14" s="8">
        <v>131</v>
      </c>
      <c r="C14" s="8">
        <v>139</v>
      </c>
      <c r="D14" s="8">
        <v>161</v>
      </c>
      <c r="E14" s="8">
        <v>171</v>
      </c>
      <c r="F14" s="8">
        <v>148</v>
      </c>
      <c r="G14" s="8">
        <v>143</v>
      </c>
      <c r="H14" s="8">
        <v>150</v>
      </c>
      <c r="I14" s="8">
        <v>143</v>
      </c>
      <c r="J14" s="8">
        <v>139</v>
      </c>
      <c r="K14" s="8"/>
      <c r="L14" s="8"/>
      <c r="M14" s="8"/>
      <c r="N14" s="9">
        <f t="shared" si="0"/>
        <v>1325</v>
      </c>
      <c r="O14" s="10">
        <f t="shared" si="1"/>
        <v>147.22222222222223</v>
      </c>
      <c r="P14" s="11">
        <f t="shared" si="2"/>
        <v>1.8317803522548179E-2</v>
      </c>
    </row>
    <row r="15" spans="1:16" ht="18.75" customHeight="1" x14ac:dyDescent="0.25">
      <c r="A15" s="7" t="s">
        <v>13</v>
      </c>
      <c r="B15" s="8">
        <v>59</v>
      </c>
      <c r="C15" s="8">
        <v>58</v>
      </c>
      <c r="D15" s="8">
        <v>54</v>
      </c>
      <c r="E15" s="8">
        <v>66</v>
      </c>
      <c r="F15" s="8">
        <v>35</v>
      </c>
      <c r="G15" s="8">
        <v>77</v>
      </c>
      <c r="H15" s="8">
        <v>182</v>
      </c>
      <c r="I15" s="8">
        <v>195</v>
      </c>
      <c r="J15" s="8">
        <v>122</v>
      </c>
      <c r="K15" s="8"/>
      <c r="L15" s="8"/>
      <c r="M15" s="8"/>
      <c r="N15" s="9">
        <f t="shared" si="0"/>
        <v>848</v>
      </c>
      <c r="O15" s="10">
        <f t="shared" si="1"/>
        <v>94.222222222222229</v>
      </c>
      <c r="P15" s="11">
        <f t="shared" si="2"/>
        <v>1.1723394254430836E-2</v>
      </c>
    </row>
    <row r="16" spans="1:16" ht="18.75" customHeight="1" x14ac:dyDescent="0.25">
      <c r="A16" s="7" t="s">
        <v>14</v>
      </c>
      <c r="B16" s="8">
        <v>424</v>
      </c>
      <c r="C16" s="8">
        <v>462</v>
      </c>
      <c r="D16" s="8">
        <v>433</v>
      </c>
      <c r="E16" s="8">
        <v>390</v>
      </c>
      <c r="F16" s="8">
        <v>378</v>
      </c>
      <c r="G16" s="8">
        <v>374</v>
      </c>
      <c r="H16" s="8">
        <v>479</v>
      </c>
      <c r="I16" s="8">
        <v>519</v>
      </c>
      <c r="J16" s="8">
        <v>395</v>
      </c>
      <c r="K16" s="8"/>
      <c r="L16" s="8"/>
      <c r="M16" s="8"/>
      <c r="N16" s="9">
        <f t="shared" si="0"/>
        <v>3854</v>
      </c>
      <c r="O16" s="10">
        <f t="shared" si="1"/>
        <v>428.22222222222223</v>
      </c>
      <c r="P16" s="11">
        <f t="shared" si="2"/>
        <v>5.328061492520806E-2</v>
      </c>
    </row>
    <row r="17" spans="1:16" ht="18.75" customHeight="1" x14ac:dyDescent="0.25">
      <c r="A17" s="7" t="s">
        <v>15</v>
      </c>
      <c r="B17" s="8">
        <v>1069</v>
      </c>
      <c r="C17" s="8">
        <v>1013</v>
      </c>
      <c r="D17" s="8">
        <v>1260</v>
      </c>
      <c r="E17" s="8">
        <v>1263</v>
      </c>
      <c r="F17" s="8">
        <v>1399</v>
      </c>
      <c r="G17" s="8">
        <v>1516</v>
      </c>
      <c r="H17" s="8">
        <v>1404</v>
      </c>
      <c r="I17" s="8">
        <v>1337</v>
      </c>
      <c r="J17" s="8">
        <v>1383</v>
      </c>
      <c r="K17" s="8"/>
      <c r="L17" s="8"/>
      <c r="M17" s="8"/>
      <c r="N17" s="9">
        <f t="shared" si="0"/>
        <v>11644</v>
      </c>
      <c r="O17" s="10">
        <f t="shared" si="1"/>
        <v>1293.7777777777778</v>
      </c>
      <c r="P17" s="11">
        <f t="shared" si="2"/>
        <v>0.16097547488041586</v>
      </c>
    </row>
    <row r="18" spans="1:16" ht="18.75" customHeight="1" x14ac:dyDescent="0.25">
      <c r="A18" s="7" t="s">
        <v>16</v>
      </c>
      <c r="B18" s="8">
        <v>50</v>
      </c>
      <c r="C18" s="8">
        <v>47</v>
      </c>
      <c r="D18" s="8">
        <v>45</v>
      </c>
      <c r="E18" s="8">
        <v>61</v>
      </c>
      <c r="F18" s="8">
        <v>48</v>
      </c>
      <c r="G18" s="8">
        <v>36</v>
      </c>
      <c r="H18" s="8">
        <v>37</v>
      </c>
      <c r="I18" s="8">
        <v>29</v>
      </c>
      <c r="J18" s="8">
        <v>39</v>
      </c>
      <c r="K18" s="8"/>
      <c r="L18" s="8"/>
      <c r="M18" s="8"/>
      <c r="N18" s="9">
        <f t="shared" si="0"/>
        <v>392</v>
      </c>
      <c r="O18" s="10">
        <f t="shared" si="1"/>
        <v>43.555555555555557</v>
      </c>
      <c r="P18" s="11">
        <f t="shared" si="2"/>
        <v>5.4193048911991594E-3</v>
      </c>
    </row>
    <row r="19" spans="1:16" ht="18.75" customHeight="1" x14ac:dyDescent="0.25">
      <c r="A19" s="7" t="s">
        <v>17</v>
      </c>
      <c r="B19" s="8">
        <v>191</v>
      </c>
      <c r="C19" s="8">
        <v>209</v>
      </c>
      <c r="D19" s="8">
        <v>220</v>
      </c>
      <c r="E19" s="8">
        <v>241</v>
      </c>
      <c r="F19" s="8">
        <v>186</v>
      </c>
      <c r="G19" s="8">
        <v>178</v>
      </c>
      <c r="H19" s="8">
        <v>216</v>
      </c>
      <c r="I19" s="8">
        <v>204</v>
      </c>
      <c r="J19" s="8">
        <v>172</v>
      </c>
      <c r="K19" s="8"/>
      <c r="L19" s="8"/>
      <c r="M19" s="8"/>
      <c r="N19" s="9">
        <f t="shared" si="0"/>
        <v>1817</v>
      </c>
      <c r="O19" s="10">
        <f t="shared" si="1"/>
        <v>201.88888888888889</v>
      </c>
      <c r="P19" s="11">
        <f t="shared" si="2"/>
        <v>2.5119584151298145E-2</v>
      </c>
    </row>
    <row r="20" spans="1:16" ht="18.75" customHeight="1" x14ac:dyDescent="0.25">
      <c r="A20" s="7" t="s">
        <v>18</v>
      </c>
      <c r="B20" s="8">
        <v>2</v>
      </c>
      <c r="C20" s="8">
        <v>4</v>
      </c>
      <c r="D20" s="8">
        <v>3</v>
      </c>
      <c r="E20" s="8">
        <v>1</v>
      </c>
      <c r="F20" s="8">
        <v>4</v>
      </c>
      <c r="G20" s="8">
        <v>3</v>
      </c>
      <c r="H20" s="8">
        <v>1</v>
      </c>
      <c r="I20" s="8">
        <v>2</v>
      </c>
      <c r="J20" s="8">
        <v>3</v>
      </c>
      <c r="K20" s="8"/>
      <c r="L20" s="8"/>
      <c r="M20" s="8"/>
      <c r="N20" s="9">
        <f t="shared" si="0"/>
        <v>23</v>
      </c>
      <c r="O20" s="10">
        <f t="shared" si="1"/>
        <v>2.5555555555555554</v>
      </c>
      <c r="P20" s="11">
        <f t="shared" si="2"/>
        <v>3.1796941963668535E-4</v>
      </c>
    </row>
    <row r="21" spans="1:16" ht="18.75" customHeight="1" x14ac:dyDescent="0.25">
      <c r="A21" s="7" t="s">
        <v>19</v>
      </c>
      <c r="B21" s="8">
        <v>506</v>
      </c>
      <c r="C21" s="8">
        <v>415</v>
      </c>
      <c r="D21" s="8">
        <v>489</v>
      </c>
      <c r="E21" s="8">
        <v>412</v>
      </c>
      <c r="F21" s="8">
        <v>500</v>
      </c>
      <c r="G21" s="8">
        <v>454</v>
      </c>
      <c r="H21" s="8">
        <v>458</v>
      </c>
      <c r="I21" s="8">
        <v>408</v>
      </c>
      <c r="J21" s="8">
        <v>479</v>
      </c>
      <c r="K21" s="8"/>
      <c r="L21" s="8"/>
      <c r="M21" s="8"/>
      <c r="N21" s="9">
        <f t="shared" si="0"/>
        <v>4121</v>
      </c>
      <c r="O21" s="10">
        <f t="shared" si="1"/>
        <v>457.88888888888891</v>
      </c>
      <c r="P21" s="11">
        <f t="shared" si="2"/>
        <v>5.6971825144468712E-2</v>
      </c>
    </row>
    <row r="22" spans="1:16" ht="21.75" customHeight="1" x14ac:dyDescent="0.25">
      <c r="A22" s="12" t="s">
        <v>20</v>
      </c>
      <c r="B22" s="13">
        <f t="shared" ref="B22:M22" si="3">IF(COUNT(B9:B21)=0,"",SUM(B9:B21))</f>
        <v>7917</v>
      </c>
      <c r="C22" s="13">
        <f t="shared" si="3"/>
        <v>7631</v>
      </c>
      <c r="D22" s="13">
        <f t="shared" si="3"/>
        <v>8401</v>
      </c>
      <c r="E22" s="13">
        <f t="shared" si="3"/>
        <v>7748</v>
      </c>
      <c r="F22" s="13">
        <f t="shared" si="3"/>
        <v>8181</v>
      </c>
      <c r="G22" s="13">
        <f t="shared" si="3"/>
        <v>8245</v>
      </c>
      <c r="H22" s="13">
        <f t="shared" si="3"/>
        <v>8034</v>
      </c>
      <c r="I22" s="13">
        <f t="shared" si="3"/>
        <v>7948</v>
      </c>
      <c r="J22" s="13">
        <f t="shared" si="3"/>
        <v>8229</v>
      </c>
      <c r="K22" s="13" t="str">
        <f t="shared" si="3"/>
        <v/>
      </c>
      <c r="L22" s="13" t="str">
        <f t="shared" si="3"/>
        <v/>
      </c>
      <c r="M22" s="13" t="str">
        <f t="shared" si="3"/>
        <v/>
      </c>
      <c r="N22" s="13">
        <f t="shared" si="0"/>
        <v>72334</v>
      </c>
      <c r="O22" s="13">
        <f t="shared" si="1"/>
        <v>8037.1111111111113</v>
      </c>
      <c r="P22" s="14">
        <f>IFERROR(SUM(P9:P21),"")</f>
        <v>1</v>
      </c>
    </row>
    <row r="24" spans="1:16" x14ac:dyDescent="0.25">
      <c r="A24" s="15" t="s">
        <v>21</v>
      </c>
    </row>
  </sheetData>
  <mergeCells count="4">
    <mergeCell ref="F1:P2"/>
    <mergeCell ref="F3:P3"/>
    <mergeCell ref="A6:K6"/>
    <mergeCell ref="L6:O6"/>
  </mergeCells>
  <dataValidations count="2">
    <dataValidation type="whole" showErrorMessage="1" errorTitle="Reporting year" error="Please enter a 4-digit year, e.g. 2027." sqref="P6">
      <formula1>2000</formula1>
      <formula2>2100</formula2>
    </dataValidation>
    <dataValidation type="whole" operator="greaterThanOrEqual" allowBlank="1" showErrorMessage="1" errorTitle="Whole numbers only" error="Please enter a whole number (0 or more)." sqref="B9:M21">
      <formula1>0</formula1>
      <formula2>0</formula2>
    </dataValidation>
  </dataValidations>
  <printOptions horizontalCentered="1"/>
  <pageMargins left="0.4" right="0.4" top="0.5" bottom="0.6" header="0.511811023622047" footer="0.5"/>
  <pageSetup paperSize="9" fitToHeight="0" orientation="landscape" horizontalDpi="300" verticalDpi="300" r:id="rId1"/>
  <headerFooter>
    <oddFooter>&amp;L&amp;"Arial,Regular"&amp;8 Dream Medical Center Hospital&amp;C&amp;"Arial,Regular"&amp;8 Page &amp;P of &amp;N&amp;R&amp;"Arial,Regular"&amp;8 Printed 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4828"/>
    <pageSetUpPr fitToPage="1"/>
  </sheetPr>
  <dimension ref="A1:P20"/>
  <sheetViews>
    <sheetView showGridLines="0" zoomScale="85" zoomScaleNormal="85" workbookViewId="0">
      <selection activeCell="N32" sqref="N32"/>
    </sheetView>
  </sheetViews>
  <sheetFormatPr defaultColWidth="8.7109375" defaultRowHeight="15" x14ac:dyDescent="0.25"/>
  <cols>
    <col min="1" max="1" width="30" customWidth="1"/>
    <col min="2" max="13" width="9.5703125" customWidth="1"/>
    <col min="14" max="14" width="11" customWidth="1"/>
    <col min="15" max="16" width="12" customWidth="1"/>
  </cols>
  <sheetData>
    <row r="1" spans="1:16" ht="15.75" customHeight="1" x14ac:dyDescent="0.25">
      <c r="F1" s="44" t="s">
        <v>22</v>
      </c>
      <c r="G1" s="44"/>
      <c r="H1" s="44"/>
      <c r="I1" s="44"/>
      <c r="J1" s="44"/>
      <c r="K1" s="44"/>
      <c r="L1" s="44"/>
      <c r="M1" s="44"/>
      <c r="N1" s="44"/>
      <c r="O1" s="44"/>
      <c r="P1" s="44"/>
    </row>
    <row r="2" spans="1:16" ht="15.75" customHeight="1" x14ac:dyDescent="0.25"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</row>
    <row r="3" spans="1:16" ht="15.75" customHeight="1" x14ac:dyDescent="0.25">
      <c r="F3" s="45" t="str">
        <f>"Reporting year "&amp;ReportYear</f>
        <v>Reporting year 2026</v>
      </c>
      <c r="G3" s="45"/>
      <c r="H3" s="45"/>
      <c r="I3" s="45"/>
      <c r="J3" s="45"/>
      <c r="K3" s="45"/>
      <c r="L3" s="45"/>
      <c r="M3" s="45"/>
      <c r="N3" s="45"/>
      <c r="O3" s="45"/>
      <c r="P3" s="45"/>
    </row>
    <row r="4" spans="1:16" ht="4.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ht="7.5" customHeight="1" x14ac:dyDescent="0.25"/>
    <row r="6" spans="1:16" ht="18" customHeight="1" x14ac:dyDescent="0.25">
      <c r="A6" s="46" t="s">
        <v>1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</row>
    <row r="7" spans="1:16" ht="6" customHeight="1" x14ac:dyDescent="0.25"/>
    <row r="8" spans="1:16" ht="24" customHeight="1" x14ac:dyDescent="0.25">
      <c r="A8" s="4" t="s">
        <v>3</v>
      </c>
      <c r="B8" s="5">
        <f>DATE(ReportYear,1,1)</f>
        <v>46023</v>
      </c>
      <c r="C8" s="5">
        <f>DATE(ReportYear,2,1)</f>
        <v>46054</v>
      </c>
      <c r="D8" s="5">
        <f>DATE(ReportYear,3,1)</f>
        <v>46082</v>
      </c>
      <c r="E8" s="5">
        <f>DATE(ReportYear,4,1)</f>
        <v>46113</v>
      </c>
      <c r="F8" s="5">
        <f>DATE(ReportYear,5,1)</f>
        <v>46143</v>
      </c>
      <c r="G8" s="5">
        <f>DATE(ReportYear,6,1)</f>
        <v>46174</v>
      </c>
      <c r="H8" s="5">
        <f>DATE(ReportYear,7,1)</f>
        <v>46204</v>
      </c>
      <c r="I8" s="5">
        <f>DATE(ReportYear,8,1)</f>
        <v>46235</v>
      </c>
      <c r="J8" s="5">
        <f>DATE(ReportYear,9,1)</f>
        <v>46266</v>
      </c>
      <c r="K8" s="5">
        <f>DATE(ReportYear,10,1)</f>
        <v>46296</v>
      </c>
      <c r="L8" s="5">
        <f>DATE(ReportYear,11,1)</f>
        <v>46327</v>
      </c>
      <c r="M8" s="5">
        <f>DATE(ReportYear,12,1)</f>
        <v>46357</v>
      </c>
      <c r="N8" s="6" t="s">
        <v>4</v>
      </c>
      <c r="O8" s="6" t="s">
        <v>5</v>
      </c>
      <c r="P8" s="6" t="s">
        <v>6</v>
      </c>
    </row>
    <row r="9" spans="1:16" ht="18.75" customHeight="1" x14ac:dyDescent="0.25">
      <c r="A9" s="7" t="s">
        <v>7</v>
      </c>
      <c r="B9" s="8">
        <v>23</v>
      </c>
      <c r="C9" s="8">
        <v>26</v>
      </c>
      <c r="D9" s="8">
        <v>18</v>
      </c>
      <c r="E9" s="8">
        <v>35</v>
      </c>
      <c r="F9" s="8">
        <v>25</v>
      </c>
      <c r="G9" s="8">
        <v>28</v>
      </c>
      <c r="H9" s="8">
        <v>27</v>
      </c>
      <c r="I9" s="8">
        <v>31</v>
      </c>
      <c r="J9" s="8">
        <v>23</v>
      </c>
      <c r="K9" s="8"/>
      <c r="L9" s="8"/>
      <c r="M9" s="8"/>
      <c r="N9" s="9">
        <f t="shared" ref="N9:N18" si="0">IF(COUNT(B9:M9)=0,"",SUM(B9:M9))</f>
        <v>236</v>
      </c>
      <c r="O9" s="10">
        <f t="shared" ref="O9:O18" si="1">IFERROR(AVERAGE(B9:M9),"")</f>
        <v>26.222222222222221</v>
      </c>
      <c r="P9" s="11">
        <f t="shared" ref="P9:P17" si="2">IFERROR(N9/$N$18,"")</f>
        <v>6.7525035765379118E-2</v>
      </c>
    </row>
    <row r="10" spans="1:16" ht="18.75" customHeight="1" x14ac:dyDescent="0.25">
      <c r="A10" s="7" t="s">
        <v>8</v>
      </c>
      <c r="B10" s="8">
        <v>64</v>
      </c>
      <c r="C10" s="8">
        <v>92</v>
      </c>
      <c r="D10" s="8">
        <v>111</v>
      </c>
      <c r="E10" s="8">
        <v>74</v>
      </c>
      <c r="F10" s="8">
        <v>95</v>
      </c>
      <c r="G10" s="8">
        <v>92</v>
      </c>
      <c r="H10" s="8">
        <v>63</v>
      </c>
      <c r="I10" s="8">
        <v>63</v>
      </c>
      <c r="J10" s="8">
        <v>82</v>
      </c>
      <c r="K10" s="8"/>
      <c r="L10" s="8"/>
      <c r="M10" s="8"/>
      <c r="N10" s="9">
        <f t="shared" si="0"/>
        <v>736</v>
      </c>
      <c r="O10" s="10">
        <f t="shared" si="1"/>
        <v>81.777777777777771</v>
      </c>
      <c r="P10" s="11">
        <f t="shared" si="2"/>
        <v>0.21058655221745351</v>
      </c>
    </row>
    <row r="11" spans="1:16" ht="18.75" customHeight="1" x14ac:dyDescent="0.25">
      <c r="A11" s="7" t="s">
        <v>10</v>
      </c>
      <c r="B11" s="8">
        <v>165</v>
      </c>
      <c r="C11" s="8">
        <v>154</v>
      </c>
      <c r="D11" s="8">
        <v>169</v>
      </c>
      <c r="E11" s="8">
        <v>177</v>
      </c>
      <c r="F11" s="8">
        <v>169</v>
      </c>
      <c r="G11" s="8">
        <v>150</v>
      </c>
      <c r="H11" s="8">
        <v>161</v>
      </c>
      <c r="I11" s="8">
        <v>143</v>
      </c>
      <c r="J11" s="8">
        <v>166</v>
      </c>
      <c r="K11" s="8"/>
      <c r="L11" s="8"/>
      <c r="M11" s="8"/>
      <c r="N11" s="9">
        <f t="shared" si="0"/>
        <v>1454</v>
      </c>
      <c r="O11" s="10">
        <f t="shared" si="1"/>
        <v>161.55555555555554</v>
      </c>
      <c r="P11" s="11">
        <f t="shared" si="2"/>
        <v>0.41602288984263236</v>
      </c>
    </row>
    <row r="12" spans="1:16" ht="18.75" customHeight="1" x14ac:dyDescent="0.25">
      <c r="A12" s="7" t="s">
        <v>13</v>
      </c>
      <c r="B12" s="8">
        <v>7</v>
      </c>
      <c r="C12" s="8">
        <v>8</v>
      </c>
      <c r="D12" s="8">
        <v>7</v>
      </c>
      <c r="E12" s="8">
        <v>15</v>
      </c>
      <c r="F12" s="8">
        <v>6</v>
      </c>
      <c r="G12" s="8">
        <v>9</v>
      </c>
      <c r="H12" s="8">
        <v>15</v>
      </c>
      <c r="I12" s="8">
        <v>16</v>
      </c>
      <c r="J12" s="8">
        <v>12</v>
      </c>
      <c r="K12" s="8"/>
      <c r="L12" s="8"/>
      <c r="M12" s="8"/>
      <c r="N12" s="9">
        <f t="shared" si="0"/>
        <v>95</v>
      </c>
      <c r="O12" s="10">
        <f t="shared" si="1"/>
        <v>10.555555555555555</v>
      </c>
      <c r="P12" s="11">
        <f t="shared" si="2"/>
        <v>2.7181688125894134E-2</v>
      </c>
    </row>
    <row r="13" spans="1:16" ht="18.75" customHeight="1" x14ac:dyDescent="0.25">
      <c r="A13" s="7" t="s">
        <v>23</v>
      </c>
      <c r="B13" s="8">
        <v>53</v>
      </c>
      <c r="C13" s="8">
        <v>63</v>
      </c>
      <c r="D13" s="8">
        <v>47</v>
      </c>
      <c r="E13" s="8">
        <v>34</v>
      </c>
      <c r="F13" s="8">
        <v>40</v>
      </c>
      <c r="G13" s="8">
        <v>52</v>
      </c>
      <c r="H13" s="8">
        <v>59</v>
      </c>
      <c r="I13" s="8">
        <v>67</v>
      </c>
      <c r="J13" s="8">
        <v>43</v>
      </c>
      <c r="K13" s="8"/>
      <c r="L13" s="8"/>
      <c r="M13" s="8"/>
      <c r="N13" s="9">
        <f t="shared" si="0"/>
        <v>458</v>
      </c>
      <c r="O13" s="10">
        <f t="shared" si="1"/>
        <v>50.888888888888886</v>
      </c>
      <c r="P13" s="11">
        <f t="shared" si="2"/>
        <v>0.13104434907010015</v>
      </c>
    </row>
    <row r="14" spans="1:16" ht="18.75" customHeight="1" x14ac:dyDescent="0.25">
      <c r="A14" s="7" t="s">
        <v>24</v>
      </c>
      <c r="B14" s="8">
        <v>5</v>
      </c>
      <c r="C14" s="8">
        <v>3</v>
      </c>
      <c r="D14" s="8">
        <v>6</v>
      </c>
      <c r="E14" s="8">
        <v>2</v>
      </c>
      <c r="F14" s="8">
        <v>0</v>
      </c>
      <c r="G14" s="8">
        <v>1</v>
      </c>
      <c r="H14" s="8">
        <v>3</v>
      </c>
      <c r="I14" s="8">
        <v>2</v>
      </c>
      <c r="J14" s="8">
        <v>5</v>
      </c>
      <c r="K14" s="8"/>
      <c r="L14" s="8"/>
      <c r="M14" s="8"/>
      <c r="N14" s="9">
        <f t="shared" si="0"/>
        <v>27</v>
      </c>
      <c r="O14" s="10">
        <f t="shared" si="1"/>
        <v>3</v>
      </c>
      <c r="P14" s="11">
        <f t="shared" si="2"/>
        <v>7.725321888412017E-3</v>
      </c>
    </row>
    <row r="15" spans="1:16" ht="18.75" customHeight="1" x14ac:dyDescent="0.25">
      <c r="A15" s="7" t="s">
        <v>25</v>
      </c>
      <c r="B15" s="8">
        <v>4</v>
      </c>
      <c r="C15" s="8">
        <v>4</v>
      </c>
      <c r="D15" s="8">
        <v>2</v>
      </c>
      <c r="E15" s="8">
        <v>3</v>
      </c>
      <c r="F15" s="8">
        <v>8</v>
      </c>
      <c r="G15" s="8">
        <v>5</v>
      </c>
      <c r="H15" s="8">
        <v>5</v>
      </c>
      <c r="I15" s="8">
        <v>3</v>
      </c>
      <c r="J15" s="8">
        <v>3</v>
      </c>
      <c r="K15" s="8"/>
      <c r="L15" s="8"/>
      <c r="M15" s="8"/>
      <c r="N15" s="9">
        <f t="shared" si="0"/>
        <v>37</v>
      </c>
      <c r="O15" s="10">
        <f t="shared" si="1"/>
        <v>4.1111111111111107</v>
      </c>
      <c r="P15" s="11">
        <f t="shared" si="2"/>
        <v>1.0586552217453506E-2</v>
      </c>
    </row>
    <row r="16" spans="1:16" ht="18.75" customHeight="1" x14ac:dyDescent="0.25">
      <c r="A16" s="7" t="s">
        <v>17</v>
      </c>
      <c r="B16" s="8">
        <v>27</v>
      </c>
      <c r="C16" s="8">
        <v>34</v>
      </c>
      <c r="D16" s="8">
        <v>27</v>
      </c>
      <c r="E16" s="8">
        <v>84</v>
      </c>
      <c r="F16" s="8">
        <v>42</v>
      </c>
      <c r="G16" s="8">
        <v>44</v>
      </c>
      <c r="H16" s="8">
        <v>55</v>
      </c>
      <c r="I16" s="8">
        <v>96</v>
      </c>
      <c r="J16" s="8">
        <v>41</v>
      </c>
      <c r="K16" s="8"/>
      <c r="L16" s="8"/>
      <c r="M16" s="8"/>
      <c r="N16" s="9">
        <f t="shared" si="0"/>
        <v>450</v>
      </c>
      <c r="O16" s="10">
        <f t="shared" si="1"/>
        <v>50</v>
      </c>
      <c r="P16" s="11">
        <f t="shared" si="2"/>
        <v>0.12875536480686695</v>
      </c>
    </row>
    <row r="17" spans="1:16" ht="18.75" customHeight="1" x14ac:dyDescent="0.25">
      <c r="A17" s="7" t="s">
        <v>18</v>
      </c>
      <c r="B17" s="8">
        <v>1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1</v>
      </c>
      <c r="J17" s="8">
        <v>0</v>
      </c>
      <c r="K17" s="8"/>
      <c r="L17" s="8"/>
      <c r="M17" s="8"/>
      <c r="N17" s="9">
        <f t="shared" si="0"/>
        <v>2</v>
      </c>
      <c r="O17" s="10">
        <f t="shared" si="1"/>
        <v>0.22222222222222221</v>
      </c>
      <c r="P17" s="11">
        <f t="shared" si="2"/>
        <v>5.7224606580829761E-4</v>
      </c>
    </row>
    <row r="18" spans="1:16" ht="21.75" customHeight="1" x14ac:dyDescent="0.25">
      <c r="A18" s="12" t="s">
        <v>20</v>
      </c>
      <c r="B18" s="13">
        <f t="shared" ref="B18:M18" si="3">IF(COUNT(B9:B17)=0,"",SUM(B9:B17))</f>
        <v>349</v>
      </c>
      <c r="C18" s="13">
        <f t="shared" si="3"/>
        <v>384</v>
      </c>
      <c r="D18" s="13">
        <f t="shared" si="3"/>
        <v>387</v>
      </c>
      <c r="E18" s="13">
        <f t="shared" si="3"/>
        <v>424</v>
      </c>
      <c r="F18" s="13">
        <f t="shared" si="3"/>
        <v>385</v>
      </c>
      <c r="G18" s="13">
        <f t="shared" si="3"/>
        <v>381</v>
      </c>
      <c r="H18" s="13">
        <f t="shared" si="3"/>
        <v>388</v>
      </c>
      <c r="I18" s="13">
        <f t="shared" si="3"/>
        <v>422</v>
      </c>
      <c r="J18" s="13">
        <f t="shared" si="3"/>
        <v>375</v>
      </c>
      <c r="K18" s="13" t="str">
        <f t="shared" si="3"/>
        <v/>
      </c>
      <c r="L18" s="13" t="str">
        <f t="shared" si="3"/>
        <v/>
      </c>
      <c r="M18" s="13" t="str">
        <f t="shared" si="3"/>
        <v/>
      </c>
      <c r="N18" s="13">
        <f t="shared" si="0"/>
        <v>3495</v>
      </c>
      <c r="O18" s="13">
        <f t="shared" si="1"/>
        <v>388.33333333333331</v>
      </c>
      <c r="P18" s="14">
        <f>IFERROR(SUM(P9:P17),"")</f>
        <v>1</v>
      </c>
    </row>
    <row r="20" spans="1:16" x14ac:dyDescent="0.25">
      <c r="A20" s="15" t="s">
        <v>21</v>
      </c>
    </row>
  </sheetData>
  <mergeCells count="3">
    <mergeCell ref="F1:P2"/>
    <mergeCell ref="F3:P3"/>
    <mergeCell ref="A6:P6"/>
  </mergeCells>
  <dataValidations count="1">
    <dataValidation type="whole" operator="greaterThanOrEqual" allowBlank="1" showErrorMessage="1" errorTitle="Whole numbers only" error="Please enter a whole number (0 or more)." sqref="B9:M17">
      <formula1>0</formula1>
      <formula2>0</formula2>
    </dataValidation>
  </dataValidations>
  <printOptions horizontalCentered="1"/>
  <pageMargins left="0.4" right="0.4" top="0.5" bottom="0.6" header="0.511811023622047" footer="0.5"/>
  <pageSetup paperSize="9" fitToHeight="0" orientation="landscape" horizontalDpi="300" verticalDpi="300"/>
  <headerFooter>
    <oddFooter>&amp;L&amp;"Arial,Regular"&amp;8 Dream Medical Center Hospital&amp;C&amp;"Arial,Regular"&amp;8 Page &amp;P of &amp;N&amp;R&amp;"Arial,Regular"&amp;8 Printed &amp;D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4828"/>
    <pageSetUpPr fitToPage="1"/>
  </sheetPr>
  <dimension ref="A1:H21"/>
  <sheetViews>
    <sheetView showGridLines="0" zoomScale="85" zoomScaleNormal="85" workbookViewId="0">
      <selection activeCell="H25" sqref="H25"/>
    </sheetView>
  </sheetViews>
  <sheetFormatPr defaultColWidth="8.7109375" defaultRowHeight="15" x14ac:dyDescent="0.25"/>
  <cols>
    <col min="1" max="1" width="16" customWidth="1"/>
    <col min="2" max="2" width="17" customWidth="1"/>
    <col min="3" max="4" width="12" customWidth="1"/>
    <col min="5" max="5" width="22.5703125" bestFit="1" customWidth="1"/>
    <col min="6" max="7" width="17" customWidth="1"/>
    <col min="8" max="8" width="13" customWidth="1"/>
  </cols>
  <sheetData>
    <row r="1" spans="1:8" ht="15.75" customHeight="1" x14ac:dyDescent="0.25">
      <c r="D1" s="44" t="s">
        <v>26</v>
      </c>
      <c r="E1" s="44"/>
      <c r="F1" s="44"/>
      <c r="G1" s="44"/>
      <c r="H1" s="44"/>
    </row>
    <row r="2" spans="1:8" ht="15.75" customHeight="1" x14ac:dyDescent="0.25">
      <c r="D2" s="44"/>
      <c r="E2" s="44"/>
      <c r="F2" s="44"/>
      <c r="G2" s="44"/>
      <c r="H2" s="44"/>
    </row>
    <row r="3" spans="1:8" ht="15.75" customHeight="1" x14ac:dyDescent="0.25">
      <c r="D3" s="45" t="str">
        <f>"Reporting year "&amp;ReportYear</f>
        <v>Reporting year 2026</v>
      </c>
      <c r="E3" s="45"/>
      <c r="F3" s="45"/>
      <c r="G3" s="45"/>
      <c r="H3" s="45"/>
    </row>
    <row r="4" spans="1:8" ht="4.5" customHeight="1" x14ac:dyDescent="0.25">
      <c r="A4" s="2"/>
      <c r="B4" s="2"/>
      <c r="C4" s="2"/>
      <c r="D4" s="2"/>
      <c r="E4" s="2"/>
      <c r="F4" s="2"/>
      <c r="G4" s="2"/>
      <c r="H4" s="2"/>
    </row>
    <row r="5" spans="1:8" ht="7.5" customHeight="1" x14ac:dyDescent="0.25"/>
    <row r="6" spans="1:8" ht="18" customHeight="1" x14ac:dyDescent="0.25">
      <c r="A6" s="46" t="s">
        <v>27</v>
      </c>
      <c r="B6" s="46"/>
      <c r="C6" s="46"/>
      <c r="D6" s="46"/>
      <c r="E6" s="46"/>
      <c r="F6" s="46"/>
      <c r="G6" s="46"/>
      <c r="H6" s="46"/>
    </row>
    <row r="7" spans="1:8" ht="6" customHeight="1" x14ac:dyDescent="0.25"/>
    <row r="8" spans="1:8" ht="33.75" customHeight="1" x14ac:dyDescent="0.25">
      <c r="A8" s="4" t="s">
        <v>28</v>
      </c>
      <c r="B8" s="6" t="s">
        <v>29</v>
      </c>
      <c r="C8" s="6" t="s">
        <v>30</v>
      </c>
      <c r="D8" s="6" t="s">
        <v>31</v>
      </c>
      <c r="E8" s="6" t="s">
        <v>32</v>
      </c>
      <c r="F8" s="6" t="s">
        <v>33</v>
      </c>
      <c r="G8" s="6" t="s">
        <v>34</v>
      </c>
      <c r="H8" s="6" t="s">
        <v>35</v>
      </c>
    </row>
    <row r="9" spans="1:8" ht="18.75" customHeight="1" x14ac:dyDescent="0.25">
      <c r="A9" s="16">
        <f>DATE(ReportYear,2,0)</f>
        <v>46053</v>
      </c>
      <c r="B9" s="8">
        <v>116</v>
      </c>
      <c r="C9" s="8">
        <v>115</v>
      </c>
      <c r="D9" s="8">
        <v>1</v>
      </c>
      <c r="E9" s="17" t="s">
        <v>36</v>
      </c>
      <c r="F9" s="8">
        <v>61</v>
      </c>
      <c r="G9" s="9">
        <f t="shared" ref="G9:G20" si="0">IF(COUNT(B9,F9)&lt;2,"",B9-F9)</f>
        <v>55</v>
      </c>
      <c r="H9" s="11">
        <f t="shared" ref="H9:H21" si="1">IFERROR(F9/B9,"")</f>
        <v>0.52586206896551724</v>
      </c>
    </row>
    <row r="10" spans="1:8" ht="18.75" customHeight="1" x14ac:dyDescent="0.25">
      <c r="A10" s="16">
        <f>DATE(ReportYear,3,0)</f>
        <v>46081</v>
      </c>
      <c r="B10" s="8">
        <v>114</v>
      </c>
      <c r="C10" s="8">
        <v>115</v>
      </c>
      <c r="D10" s="8">
        <v>0</v>
      </c>
      <c r="E10" s="17"/>
      <c r="F10" s="8">
        <v>59</v>
      </c>
      <c r="G10" s="9">
        <f t="shared" si="0"/>
        <v>55</v>
      </c>
      <c r="H10" s="11">
        <f t="shared" si="1"/>
        <v>0.51754385964912286</v>
      </c>
    </row>
    <row r="11" spans="1:8" ht="18.75" customHeight="1" x14ac:dyDescent="0.25">
      <c r="A11" s="16">
        <f>DATE(ReportYear,4,0)</f>
        <v>46112</v>
      </c>
      <c r="B11" s="8">
        <v>135</v>
      </c>
      <c r="C11" s="8">
        <v>135</v>
      </c>
      <c r="D11" s="8">
        <v>0</v>
      </c>
      <c r="E11" s="17"/>
      <c r="F11" s="8">
        <v>82</v>
      </c>
      <c r="G11" s="9">
        <f t="shared" si="0"/>
        <v>53</v>
      </c>
      <c r="H11" s="11">
        <f t="shared" si="1"/>
        <v>0.6074074074074074</v>
      </c>
    </row>
    <row r="12" spans="1:8" ht="18.75" customHeight="1" x14ac:dyDescent="0.25">
      <c r="A12" s="16">
        <f>DATE(ReportYear,5,0)</f>
        <v>46142</v>
      </c>
      <c r="B12" s="8">
        <v>132</v>
      </c>
      <c r="C12" s="8">
        <v>135</v>
      </c>
      <c r="D12" s="8">
        <v>0</v>
      </c>
      <c r="E12" s="17"/>
      <c r="F12" s="8">
        <v>72</v>
      </c>
      <c r="G12" s="9">
        <f t="shared" si="0"/>
        <v>60</v>
      </c>
      <c r="H12" s="11">
        <f t="shared" si="1"/>
        <v>0.54545454545454541</v>
      </c>
    </row>
    <row r="13" spans="1:8" ht="18.75" customHeight="1" x14ac:dyDescent="0.25">
      <c r="A13" s="16">
        <f>DATE(ReportYear,6,0)</f>
        <v>46173</v>
      </c>
      <c r="B13" s="8">
        <v>133</v>
      </c>
      <c r="C13" s="8">
        <v>137</v>
      </c>
      <c r="D13" s="8">
        <v>0</v>
      </c>
      <c r="E13" s="17"/>
      <c r="F13" s="8">
        <v>62</v>
      </c>
      <c r="G13" s="9">
        <f t="shared" si="0"/>
        <v>71</v>
      </c>
      <c r="H13" s="11">
        <f t="shared" si="1"/>
        <v>0.46616541353383456</v>
      </c>
    </row>
    <row r="14" spans="1:8" ht="18.75" customHeight="1" x14ac:dyDescent="0.25">
      <c r="A14" s="16">
        <f>DATE(ReportYear,7,0)</f>
        <v>46203</v>
      </c>
      <c r="B14" s="8">
        <v>112</v>
      </c>
      <c r="C14" s="8">
        <v>115</v>
      </c>
      <c r="D14" s="8">
        <v>0</v>
      </c>
      <c r="E14" s="17"/>
      <c r="F14" s="8">
        <v>72</v>
      </c>
      <c r="G14" s="9">
        <f t="shared" si="0"/>
        <v>40</v>
      </c>
      <c r="H14" s="11">
        <f t="shared" si="1"/>
        <v>0.6428571428571429</v>
      </c>
    </row>
    <row r="15" spans="1:8" ht="18.75" customHeight="1" x14ac:dyDescent="0.25">
      <c r="A15" s="16">
        <f>DATE(ReportYear,8,0)</f>
        <v>46234</v>
      </c>
      <c r="B15" s="8">
        <v>126</v>
      </c>
      <c r="C15" s="8">
        <v>125</v>
      </c>
      <c r="D15" s="8">
        <v>2</v>
      </c>
      <c r="E15" s="17" t="s">
        <v>36</v>
      </c>
      <c r="F15" s="8">
        <v>75</v>
      </c>
      <c r="G15" s="9">
        <f t="shared" si="0"/>
        <v>51</v>
      </c>
      <c r="H15" s="11">
        <f t="shared" si="1"/>
        <v>0.59523809523809523</v>
      </c>
    </row>
    <row r="16" spans="1:8" ht="18.75" customHeight="1" x14ac:dyDescent="0.25">
      <c r="A16" s="16">
        <f>DATE(ReportYear,9,0)</f>
        <v>46265</v>
      </c>
      <c r="B16" s="8">
        <v>100</v>
      </c>
      <c r="C16" s="8">
        <v>100</v>
      </c>
      <c r="D16" s="8">
        <v>1</v>
      </c>
      <c r="E16" s="17" t="s">
        <v>36</v>
      </c>
      <c r="F16" s="8">
        <v>60</v>
      </c>
      <c r="G16" s="9">
        <f t="shared" si="0"/>
        <v>40</v>
      </c>
      <c r="H16" s="11">
        <f t="shared" si="1"/>
        <v>0.6</v>
      </c>
    </row>
    <row r="17" spans="1:8" ht="18.75" customHeight="1" x14ac:dyDescent="0.25">
      <c r="A17" s="16">
        <f>DATE(ReportYear,10,0)</f>
        <v>46295</v>
      </c>
      <c r="B17" s="8">
        <v>147</v>
      </c>
      <c r="C17" s="8">
        <v>149</v>
      </c>
      <c r="D17" s="8">
        <v>1</v>
      </c>
      <c r="E17" s="17" t="s">
        <v>36</v>
      </c>
      <c r="F17" s="8">
        <v>80</v>
      </c>
      <c r="G17" s="9">
        <f t="shared" si="0"/>
        <v>67</v>
      </c>
      <c r="H17" s="11">
        <f t="shared" si="1"/>
        <v>0.54421768707482998</v>
      </c>
    </row>
    <row r="18" spans="1:8" ht="18.75" customHeight="1" x14ac:dyDescent="0.25">
      <c r="A18" s="16">
        <f>DATE(ReportYear,11,0)</f>
        <v>46326</v>
      </c>
      <c r="B18" s="8"/>
      <c r="C18" s="8"/>
      <c r="D18" s="8"/>
      <c r="E18" s="17"/>
      <c r="F18" s="8"/>
      <c r="G18" s="9" t="str">
        <f t="shared" si="0"/>
        <v/>
      </c>
      <c r="H18" s="11" t="str">
        <f t="shared" si="1"/>
        <v/>
      </c>
    </row>
    <row r="19" spans="1:8" ht="18.75" customHeight="1" x14ac:dyDescent="0.25">
      <c r="A19" s="16">
        <f>DATE(ReportYear,12,0)</f>
        <v>46356</v>
      </c>
      <c r="B19" s="8"/>
      <c r="C19" s="8"/>
      <c r="D19" s="8"/>
      <c r="E19" s="17"/>
      <c r="F19" s="8"/>
      <c r="G19" s="9" t="str">
        <f t="shared" si="0"/>
        <v/>
      </c>
      <c r="H19" s="11" t="str">
        <f t="shared" si="1"/>
        <v/>
      </c>
    </row>
    <row r="20" spans="1:8" ht="18.75" customHeight="1" x14ac:dyDescent="0.25">
      <c r="A20" s="16">
        <f>DATE(ReportYear,13,0)</f>
        <v>46387</v>
      </c>
      <c r="B20" s="8"/>
      <c r="C20" s="8"/>
      <c r="D20" s="8"/>
      <c r="E20" s="17"/>
      <c r="F20" s="8"/>
      <c r="G20" s="9" t="str">
        <f t="shared" si="0"/>
        <v/>
      </c>
      <c r="H20" s="11" t="str">
        <f t="shared" si="1"/>
        <v/>
      </c>
    </row>
    <row r="21" spans="1:8" ht="21.75" customHeight="1" x14ac:dyDescent="0.25">
      <c r="A21" s="12" t="s">
        <v>20</v>
      </c>
      <c r="B21" s="13">
        <f>IF(COUNT(B9:B20)=0,"",SUM(B9:B20))</f>
        <v>1115</v>
      </c>
      <c r="C21" s="13">
        <f>IF(COUNT(C9:C20)=0,"",SUM(C9:C20))</f>
        <v>1126</v>
      </c>
      <c r="D21" s="13">
        <f>IF(COUNT(D9:D20)=0,"",SUM(D9:D20))</f>
        <v>5</v>
      </c>
      <c r="E21" s="13"/>
      <c r="F21" s="13">
        <f>IF(COUNT(F9:F20)=0,"",SUM(F9:F20))</f>
        <v>623</v>
      </c>
      <c r="G21" s="13">
        <f>IF(COUNT(G9:G20)=0,"",SUM(G9:G20))</f>
        <v>492</v>
      </c>
      <c r="H21" s="14">
        <f t="shared" si="1"/>
        <v>0.55874439461883407</v>
      </c>
    </row>
  </sheetData>
  <mergeCells count="3">
    <mergeCell ref="D1:H2"/>
    <mergeCell ref="D3:H3"/>
    <mergeCell ref="A6:H6"/>
  </mergeCells>
  <dataValidations count="1">
    <dataValidation type="whole" operator="greaterThanOrEqual" allowBlank="1" showErrorMessage="1" errorTitle="Whole numbers only" error="Please enter a whole number (0 or more)." sqref="B9:D20 F9:F20">
      <formula1>0</formula1>
      <formula2>0</formula2>
    </dataValidation>
  </dataValidations>
  <printOptions horizontalCentered="1"/>
  <pageMargins left="0.4" right="0.4" top="0.5" bottom="0.6" header="0.511811023622047" footer="0.5"/>
  <pageSetup paperSize="9" orientation="landscape" horizontalDpi="300" verticalDpi="300"/>
  <headerFooter>
    <oddFooter>&amp;L&amp;"Arial,Regular"&amp;8 Dream Medical Center Hospital&amp;C&amp;"Arial,Regular"&amp;8 Page &amp;P of &amp;N&amp;R&amp;"Arial,Regular"&amp;8 Printed &amp;D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4828"/>
    <pageSetUpPr fitToPage="1"/>
  </sheetPr>
  <dimension ref="A1:G20"/>
  <sheetViews>
    <sheetView showGridLines="0" zoomScale="85" zoomScaleNormal="85" workbookViewId="0"/>
  </sheetViews>
  <sheetFormatPr defaultColWidth="8.7109375" defaultRowHeight="15" x14ac:dyDescent="0.25"/>
  <cols>
    <col min="1" max="1" width="13" customWidth="1"/>
    <col min="2" max="2" width="17" customWidth="1"/>
    <col min="3" max="4" width="14" customWidth="1"/>
    <col min="5" max="5" width="17" customWidth="1"/>
    <col min="6" max="6" width="14" customWidth="1"/>
    <col min="7" max="7" width="19" customWidth="1"/>
  </cols>
  <sheetData>
    <row r="1" spans="1:7" ht="15.75" customHeight="1" x14ac:dyDescent="0.25">
      <c r="C1" s="44" t="s">
        <v>37</v>
      </c>
      <c r="D1" s="44"/>
      <c r="E1" s="44"/>
      <c r="F1" s="44"/>
      <c r="G1" s="44"/>
    </row>
    <row r="2" spans="1:7" ht="15.75" customHeight="1" x14ac:dyDescent="0.25">
      <c r="C2" s="44"/>
      <c r="D2" s="44"/>
      <c r="E2" s="44"/>
      <c r="F2" s="44"/>
      <c r="G2" s="44"/>
    </row>
    <row r="3" spans="1:7" ht="15.75" customHeight="1" x14ac:dyDescent="0.25">
      <c r="C3" s="45" t="str">
        <f>"Up to the current reporting year ("&amp;ReportYear&amp;")"</f>
        <v>Up to the current reporting year (2026)</v>
      </c>
      <c r="D3" s="45"/>
      <c r="E3" s="45"/>
      <c r="F3" s="45"/>
      <c r="G3" s="45"/>
    </row>
    <row r="4" spans="1:7" ht="4.5" customHeight="1" x14ac:dyDescent="0.25">
      <c r="A4" s="2"/>
      <c r="B4" s="2"/>
      <c r="C4" s="2"/>
      <c r="D4" s="2"/>
      <c r="E4" s="2"/>
      <c r="F4" s="2"/>
      <c r="G4" s="2"/>
    </row>
    <row r="5" spans="1:7" ht="7.5" customHeight="1" x14ac:dyDescent="0.25"/>
    <row r="6" spans="1:7" ht="18" customHeight="1" x14ac:dyDescent="0.25">
      <c r="A6" s="46" t="s">
        <v>38</v>
      </c>
      <c r="B6" s="46"/>
      <c r="C6" s="46"/>
      <c r="D6" s="46"/>
      <c r="E6" s="46"/>
      <c r="F6" s="46"/>
      <c r="G6" s="46"/>
    </row>
    <row r="7" spans="1:7" ht="6" customHeight="1" x14ac:dyDescent="0.25"/>
    <row r="8" spans="1:7" ht="45.75" customHeight="1" x14ac:dyDescent="0.25">
      <c r="A8" s="6" t="s">
        <v>39</v>
      </c>
      <c r="B8" s="6" t="s">
        <v>29</v>
      </c>
      <c r="C8" s="6" t="s">
        <v>30</v>
      </c>
      <c r="D8" s="6" t="s">
        <v>40</v>
      </c>
      <c r="E8" s="6" t="s">
        <v>34</v>
      </c>
      <c r="F8" s="6" t="s">
        <v>35</v>
      </c>
      <c r="G8" s="6" t="s">
        <v>41</v>
      </c>
    </row>
    <row r="9" spans="1:7" ht="18.75" customHeight="1" x14ac:dyDescent="0.25">
      <c r="A9" s="18">
        <v>2019</v>
      </c>
      <c r="B9" s="8">
        <v>109</v>
      </c>
      <c r="C9" s="8">
        <v>149</v>
      </c>
      <c r="D9" s="8">
        <v>99</v>
      </c>
      <c r="E9" s="10">
        <f t="shared" ref="E9:E15" si="0">IF(COUNT(B9,D9)&lt;2,"",B9-D9)</f>
        <v>10</v>
      </c>
      <c r="F9" s="11">
        <f t="shared" ref="F9:F17" si="1">IFERROR(D9/B9,"")</f>
        <v>0.90825688073394495</v>
      </c>
      <c r="G9" s="11"/>
    </row>
    <row r="10" spans="1:7" ht="18.75" customHeight="1" x14ac:dyDescent="0.25">
      <c r="A10" s="18">
        <v>2020</v>
      </c>
      <c r="B10" s="8">
        <v>669</v>
      </c>
      <c r="C10" s="8">
        <v>664</v>
      </c>
      <c r="D10" s="8">
        <v>457</v>
      </c>
      <c r="E10" s="10">
        <f t="shared" si="0"/>
        <v>212</v>
      </c>
      <c r="F10" s="11">
        <f t="shared" si="1"/>
        <v>0.68310911808669661</v>
      </c>
      <c r="G10" s="19">
        <f t="shared" ref="G10:G15" si="2">IFERROR(B10/B9-1,"")</f>
        <v>5.1376146788990829</v>
      </c>
    </row>
    <row r="11" spans="1:7" ht="18.75" customHeight="1" x14ac:dyDescent="0.25">
      <c r="A11" s="18">
        <v>2021</v>
      </c>
      <c r="B11" s="8">
        <v>898</v>
      </c>
      <c r="C11" s="8">
        <v>900</v>
      </c>
      <c r="D11" s="8">
        <v>547</v>
      </c>
      <c r="E11" s="10">
        <f t="shared" si="0"/>
        <v>351</v>
      </c>
      <c r="F11" s="11">
        <f t="shared" si="1"/>
        <v>0.60913140311804004</v>
      </c>
      <c r="G11" s="19">
        <f t="shared" si="2"/>
        <v>0.34230194319880414</v>
      </c>
    </row>
    <row r="12" spans="1:7" ht="18.75" customHeight="1" x14ac:dyDescent="0.25">
      <c r="A12" s="18">
        <v>2022</v>
      </c>
      <c r="B12" s="8">
        <v>1141</v>
      </c>
      <c r="C12" s="8">
        <v>1137</v>
      </c>
      <c r="D12" s="8">
        <v>738</v>
      </c>
      <c r="E12" s="10">
        <f t="shared" si="0"/>
        <v>403</v>
      </c>
      <c r="F12" s="11">
        <f t="shared" si="1"/>
        <v>0.64680105170902713</v>
      </c>
      <c r="G12" s="19">
        <f t="shared" si="2"/>
        <v>0.2706013363028954</v>
      </c>
    </row>
    <row r="13" spans="1:7" ht="18.75" customHeight="1" x14ac:dyDescent="0.25">
      <c r="A13" s="18">
        <v>2023</v>
      </c>
      <c r="B13" s="8">
        <v>1252</v>
      </c>
      <c r="C13" s="8">
        <v>1248</v>
      </c>
      <c r="D13" s="8">
        <v>779</v>
      </c>
      <c r="E13" s="10">
        <f t="shared" si="0"/>
        <v>473</v>
      </c>
      <c r="F13" s="11">
        <f t="shared" si="1"/>
        <v>0.62220447284345048</v>
      </c>
      <c r="G13" s="19">
        <f t="shared" si="2"/>
        <v>9.7283085013146309E-2</v>
      </c>
    </row>
    <row r="14" spans="1:7" ht="18.75" customHeight="1" x14ac:dyDescent="0.25">
      <c r="A14" s="18">
        <v>2024</v>
      </c>
      <c r="B14" s="8">
        <v>1441</v>
      </c>
      <c r="C14" s="8">
        <v>1444</v>
      </c>
      <c r="D14" s="8">
        <v>854</v>
      </c>
      <c r="E14" s="10">
        <f t="shared" si="0"/>
        <v>587</v>
      </c>
      <c r="F14" s="11">
        <f t="shared" si="1"/>
        <v>0.59264399722414984</v>
      </c>
      <c r="G14" s="19">
        <f t="shared" si="2"/>
        <v>0.15095846645367406</v>
      </c>
    </row>
    <row r="15" spans="1:7" ht="18.75" customHeight="1" x14ac:dyDescent="0.25">
      <c r="A15" s="18">
        <v>2025</v>
      </c>
      <c r="B15" s="8">
        <v>1437</v>
      </c>
      <c r="C15" s="8">
        <v>1439</v>
      </c>
      <c r="D15" s="8">
        <v>824</v>
      </c>
      <c r="E15" s="10">
        <f t="shared" si="0"/>
        <v>613</v>
      </c>
      <c r="F15" s="11">
        <f t="shared" si="1"/>
        <v>0.57341684064022269</v>
      </c>
      <c r="G15" s="19">
        <f t="shared" si="2"/>
        <v>-2.7758501040944239E-3</v>
      </c>
    </row>
    <row r="16" spans="1:7" ht="18.75" customHeight="1" x14ac:dyDescent="0.25">
      <c r="A16" s="20">
        <f>ReportYear</f>
        <v>2026</v>
      </c>
      <c r="B16" s="9">
        <f>Babies!B21</f>
        <v>1115</v>
      </c>
      <c r="C16" s="9">
        <f>Babies!C21</f>
        <v>1126</v>
      </c>
      <c r="D16" s="9">
        <f>Babies!F21</f>
        <v>623</v>
      </c>
      <c r="E16" s="9">
        <f>Babies!G21</f>
        <v>492</v>
      </c>
      <c r="F16" s="21">
        <f t="shared" si="1"/>
        <v>0.55874439461883407</v>
      </c>
      <c r="G16" s="11"/>
    </row>
    <row r="17" spans="1:7" ht="21.75" customHeight="1" x14ac:dyDescent="0.25">
      <c r="A17" s="22" t="s">
        <v>42</v>
      </c>
      <c r="B17" s="13">
        <f>IF(COUNT(B9:B16)=0,"",SUM(B9:B16))</f>
        <v>8062</v>
      </c>
      <c r="C17" s="13">
        <f>IF(COUNT(C9:C16)=0,"",SUM(C9:C16))</f>
        <v>8107</v>
      </c>
      <c r="D17" s="13">
        <f>IF(COUNT(D9:D16)=0,"",SUM(D9:D16))</f>
        <v>4921</v>
      </c>
      <c r="E17" s="13">
        <f>IF(COUNT(E9:E16)=0,"",SUM(E9:E16))</f>
        <v>3141</v>
      </c>
      <c r="F17" s="14">
        <f t="shared" si="1"/>
        <v>0.61039444306623669</v>
      </c>
      <c r="G17" s="13"/>
    </row>
    <row r="19" spans="1:7" x14ac:dyDescent="0.25">
      <c r="A19" s="15" t="s">
        <v>43</v>
      </c>
    </row>
    <row r="20" spans="1:7" x14ac:dyDescent="0.25">
      <c r="A20" s="15" t="s">
        <v>44</v>
      </c>
    </row>
  </sheetData>
  <mergeCells count="3">
    <mergeCell ref="C1:G2"/>
    <mergeCell ref="C3:G3"/>
    <mergeCell ref="A6:G6"/>
  </mergeCells>
  <dataValidations count="1">
    <dataValidation type="whole" operator="greaterThanOrEqual" allowBlank="1" showErrorMessage="1" errorTitle="Whole numbers only" error="Please enter a whole number (0 or more)." sqref="B9:D15">
      <formula1>0</formula1>
      <formula2>0</formula2>
    </dataValidation>
  </dataValidations>
  <printOptions horizontalCentered="1"/>
  <pageMargins left="0.4" right="0.4" top="0.5" bottom="0.6" header="0.511811023622047" footer="0.5"/>
  <pageSetup paperSize="9" orientation="landscape" horizontalDpi="300" verticalDpi="300"/>
  <headerFooter>
    <oddFooter>&amp;L&amp;"Arial,Regular"&amp;8 Dream Medical Center Hospital&amp;C&amp;"Arial,Regular"&amp;8 Page &amp;P of &amp;N&amp;R&amp;"Arial,Regular"&amp;8 Printed &amp;D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4828"/>
    <pageSetUpPr fitToPage="1"/>
  </sheetPr>
  <dimension ref="A1:E40"/>
  <sheetViews>
    <sheetView showGridLines="0" topLeftCell="A19" zoomScale="85" zoomScaleNormal="85" workbookViewId="0">
      <selection activeCell="H6" sqref="H6"/>
    </sheetView>
  </sheetViews>
  <sheetFormatPr defaultColWidth="8.7109375" defaultRowHeight="15" x14ac:dyDescent="0.25"/>
  <cols>
    <col min="1" max="1" width="24" customWidth="1"/>
    <col min="2" max="2" width="13" customWidth="1"/>
    <col min="3" max="3" width="12" customWidth="1"/>
    <col min="4" max="4" width="16.42578125" bestFit="1" customWidth="1"/>
    <col min="5" max="5" width="22.85546875" bestFit="1" customWidth="1"/>
  </cols>
  <sheetData>
    <row r="1" spans="1:5" ht="15.75" customHeight="1" x14ac:dyDescent="0.25">
      <c r="C1" s="44" t="s">
        <v>45</v>
      </c>
      <c r="D1" s="44"/>
      <c r="E1" s="44"/>
    </row>
    <row r="2" spans="1:5" ht="15.75" customHeight="1" x14ac:dyDescent="0.25">
      <c r="C2" s="44"/>
      <c r="D2" s="44"/>
      <c r="E2" s="44"/>
    </row>
    <row r="3" spans="1:5" ht="15.75" customHeight="1" x14ac:dyDescent="0.25">
      <c r="C3" s="45" t="str">
        <f>"Reporting year "&amp;ReportYear</f>
        <v>Reporting year 2026</v>
      </c>
      <c r="D3" s="45"/>
      <c r="E3" s="45"/>
    </row>
    <row r="4" spans="1:5" ht="4.5" customHeight="1" x14ac:dyDescent="0.25">
      <c r="A4" s="2"/>
      <c r="B4" s="2"/>
      <c r="C4" s="2"/>
      <c r="D4" s="2"/>
      <c r="E4" s="2"/>
    </row>
    <row r="5" spans="1:5" ht="7.5" customHeight="1" x14ac:dyDescent="0.25"/>
    <row r="6" spans="1:5" ht="30.75" customHeight="1" x14ac:dyDescent="0.25">
      <c r="A6" s="46" t="s">
        <v>46</v>
      </c>
      <c r="B6" s="46"/>
      <c r="C6" s="46"/>
      <c r="D6" s="46"/>
      <c r="E6" s="46"/>
    </row>
    <row r="7" spans="1:5" ht="6" customHeight="1" x14ac:dyDescent="0.25"/>
    <row r="8" spans="1:5" ht="33.75" customHeight="1" x14ac:dyDescent="0.25">
      <c r="A8" s="4" t="s">
        <v>28</v>
      </c>
      <c r="B8" s="6" t="s">
        <v>47</v>
      </c>
      <c r="C8" s="6" t="s">
        <v>48</v>
      </c>
      <c r="D8" s="6" t="s">
        <v>3</v>
      </c>
      <c r="E8" s="6" t="s">
        <v>49</v>
      </c>
    </row>
    <row r="9" spans="1:5" ht="18.75" customHeight="1" x14ac:dyDescent="0.25">
      <c r="A9" s="16">
        <f>DATE(ReportYear,2,0)</f>
        <v>46053</v>
      </c>
      <c r="B9" s="8">
        <v>1</v>
      </c>
      <c r="C9" s="8">
        <v>0</v>
      </c>
      <c r="D9" s="17" t="s">
        <v>50</v>
      </c>
      <c r="E9" s="17" t="s">
        <v>36</v>
      </c>
    </row>
    <row r="10" spans="1:5" ht="18.75" customHeight="1" x14ac:dyDescent="0.25">
      <c r="A10" s="16">
        <f>DATE(ReportYear,3,0)</f>
        <v>46081</v>
      </c>
      <c r="B10" s="8">
        <v>0</v>
      </c>
      <c r="C10" s="8"/>
      <c r="D10" s="17"/>
      <c r="E10" s="17"/>
    </row>
    <row r="11" spans="1:5" ht="18.75" customHeight="1" x14ac:dyDescent="0.25">
      <c r="A11" s="16">
        <f>DATE(ReportYear,4,0)</f>
        <v>46112</v>
      </c>
      <c r="B11" s="8">
        <v>0</v>
      </c>
      <c r="C11" s="8"/>
      <c r="D11" s="17"/>
      <c r="E11" s="17"/>
    </row>
    <row r="12" spans="1:5" ht="18.75" customHeight="1" x14ac:dyDescent="0.25">
      <c r="A12" s="16">
        <f>DATE(ReportYear,5,0)</f>
        <v>46142</v>
      </c>
      <c r="B12" s="8">
        <v>0</v>
      </c>
      <c r="C12" s="8"/>
      <c r="D12" s="17"/>
      <c r="E12" s="17"/>
    </row>
    <row r="13" spans="1:5" ht="18.75" customHeight="1" x14ac:dyDescent="0.25">
      <c r="A13" s="16">
        <f>DATE(ReportYear,6,0)</f>
        <v>46173</v>
      </c>
      <c r="B13" s="8">
        <v>1</v>
      </c>
      <c r="C13" s="8"/>
      <c r="D13" s="17" t="s">
        <v>7</v>
      </c>
      <c r="E13" s="17" t="s">
        <v>51</v>
      </c>
    </row>
    <row r="14" spans="1:5" ht="18.75" customHeight="1" x14ac:dyDescent="0.25">
      <c r="A14" s="16">
        <f>DATE(ReportYear,7,0)</f>
        <v>46203</v>
      </c>
      <c r="B14" s="8">
        <v>1</v>
      </c>
      <c r="C14" s="8"/>
      <c r="D14" s="17" t="s">
        <v>18</v>
      </c>
      <c r="E14" s="17" t="s">
        <v>52</v>
      </c>
    </row>
    <row r="15" spans="1:5" ht="18.75" customHeight="1" x14ac:dyDescent="0.25">
      <c r="A15" s="16">
        <f>DATE(ReportYear,8,0)</f>
        <v>46234</v>
      </c>
      <c r="B15" s="8">
        <v>2</v>
      </c>
      <c r="C15" s="8">
        <v>0</v>
      </c>
      <c r="D15" s="17" t="s">
        <v>50</v>
      </c>
      <c r="E15" s="17" t="s">
        <v>36</v>
      </c>
    </row>
    <row r="16" spans="1:5" ht="18.75" customHeight="1" x14ac:dyDescent="0.25">
      <c r="A16" s="16">
        <f>DATE(ReportYear,9,0)</f>
        <v>46265</v>
      </c>
      <c r="B16" s="8">
        <v>1</v>
      </c>
      <c r="C16" s="8">
        <v>0</v>
      </c>
      <c r="D16" s="17" t="s">
        <v>50</v>
      </c>
      <c r="E16" s="17" t="s">
        <v>36</v>
      </c>
    </row>
    <row r="17" spans="1:5" ht="18.75" customHeight="1" x14ac:dyDescent="0.25">
      <c r="A17" s="16">
        <f>DATE(ReportYear,10,0)</f>
        <v>46295</v>
      </c>
      <c r="B17" s="8">
        <v>1</v>
      </c>
      <c r="C17" s="8">
        <v>0</v>
      </c>
      <c r="D17" s="17" t="s">
        <v>50</v>
      </c>
      <c r="E17" s="17" t="s">
        <v>36</v>
      </c>
    </row>
    <row r="18" spans="1:5" ht="18.75" customHeight="1" x14ac:dyDescent="0.25">
      <c r="A18" s="16">
        <f>DATE(ReportYear,11,0)</f>
        <v>46326</v>
      </c>
      <c r="B18" s="8"/>
      <c r="C18" s="8"/>
      <c r="D18" s="17"/>
      <c r="E18" s="17"/>
    </row>
    <row r="19" spans="1:5" ht="18.75" customHeight="1" x14ac:dyDescent="0.25">
      <c r="A19" s="16">
        <f>DATE(ReportYear,12,0)</f>
        <v>46356</v>
      </c>
      <c r="B19" s="8"/>
      <c r="C19" s="8"/>
      <c r="D19" s="17"/>
      <c r="E19" s="17"/>
    </row>
    <row r="20" spans="1:5" ht="18.75" customHeight="1" x14ac:dyDescent="0.25">
      <c r="A20" s="16">
        <f>DATE(ReportYear,13,0)</f>
        <v>46387</v>
      </c>
      <c r="B20" s="8"/>
      <c r="C20" s="8"/>
      <c r="D20" s="17"/>
      <c r="E20" s="17"/>
    </row>
    <row r="21" spans="1:5" ht="21.75" customHeight="1" x14ac:dyDescent="0.25">
      <c r="A21" s="12" t="s">
        <v>20</v>
      </c>
      <c r="B21" s="13">
        <f>IF(COUNT(B9:B20)=0,"",SUM(B9:B20))</f>
        <v>7</v>
      </c>
      <c r="C21" s="13"/>
      <c r="D21" s="13"/>
      <c r="E21" s="13"/>
    </row>
    <row r="24" spans="1:5" x14ac:dyDescent="0.25">
      <c r="A24" s="23" t="s">
        <v>53</v>
      </c>
      <c r="B24" s="24"/>
      <c r="C24" s="24"/>
      <c r="D24" s="24"/>
      <c r="E24" s="24"/>
    </row>
    <row r="25" spans="1:5" ht="21.75" customHeight="1" x14ac:dyDescent="0.25">
      <c r="A25" s="4" t="s">
        <v>3</v>
      </c>
      <c r="B25" s="6" t="s">
        <v>54</v>
      </c>
      <c r="C25" s="6" t="s">
        <v>55</v>
      </c>
    </row>
    <row r="26" spans="1:5" ht="18" customHeight="1" x14ac:dyDescent="0.25">
      <c r="A26" s="17" t="s">
        <v>50</v>
      </c>
      <c r="B26" s="25">
        <f t="shared" ref="B26:B32" si="0">SUMIFS($B$9:$B$20,$D$9:$D$20,A26)</f>
        <v>5</v>
      </c>
      <c r="C26" s="11">
        <f t="shared" ref="C26:C33" si="1">IFERROR(B26/$B$34,"")</f>
        <v>0.7142857142857143</v>
      </c>
    </row>
    <row r="27" spans="1:5" ht="18" customHeight="1" x14ac:dyDescent="0.25">
      <c r="A27" s="17" t="s">
        <v>7</v>
      </c>
      <c r="B27" s="25">
        <f t="shared" si="0"/>
        <v>1</v>
      </c>
      <c r="C27" s="11">
        <f t="shared" si="1"/>
        <v>0.14285714285714285</v>
      </c>
    </row>
    <row r="28" spans="1:5" ht="18" customHeight="1" x14ac:dyDescent="0.25">
      <c r="A28" s="17" t="s">
        <v>8</v>
      </c>
      <c r="B28" s="25">
        <f t="shared" si="0"/>
        <v>0</v>
      </c>
      <c r="C28" s="11">
        <f t="shared" si="1"/>
        <v>0</v>
      </c>
    </row>
    <row r="29" spans="1:5" ht="18" customHeight="1" x14ac:dyDescent="0.25">
      <c r="A29" s="17" t="s">
        <v>25</v>
      </c>
      <c r="B29" s="25">
        <f t="shared" si="0"/>
        <v>0</v>
      </c>
      <c r="C29" s="11">
        <f t="shared" si="1"/>
        <v>0</v>
      </c>
    </row>
    <row r="30" spans="1:5" ht="18" customHeight="1" x14ac:dyDescent="0.25">
      <c r="A30" s="17" t="s">
        <v>56</v>
      </c>
      <c r="B30" s="25">
        <f t="shared" si="0"/>
        <v>0</v>
      </c>
      <c r="C30" s="11">
        <f t="shared" si="1"/>
        <v>0</v>
      </c>
    </row>
    <row r="31" spans="1:5" ht="18" customHeight="1" x14ac:dyDescent="0.25">
      <c r="A31" s="17" t="s">
        <v>18</v>
      </c>
      <c r="B31" s="25">
        <f t="shared" si="0"/>
        <v>1</v>
      </c>
      <c r="C31" s="11">
        <f t="shared" si="1"/>
        <v>0.14285714285714285</v>
      </c>
    </row>
    <row r="32" spans="1:5" ht="18" customHeight="1" x14ac:dyDescent="0.25">
      <c r="A32" s="17" t="s">
        <v>57</v>
      </c>
      <c r="B32" s="25">
        <f t="shared" si="0"/>
        <v>0</v>
      </c>
      <c r="C32" s="11">
        <f t="shared" si="1"/>
        <v>0</v>
      </c>
    </row>
    <row r="33" spans="1:5" ht="18" customHeight="1" x14ac:dyDescent="0.25">
      <c r="A33" s="26" t="s">
        <v>58</v>
      </c>
      <c r="B33" s="25">
        <f>N(B21)-SUM(B26:B32)</f>
        <v>0</v>
      </c>
      <c r="C33" s="11">
        <f t="shared" si="1"/>
        <v>0</v>
      </c>
    </row>
    <row r="34" spans="1:5" ht="21.75" customHeight="1" x14ac:dyDescent="0.25">
      <c r="A34" s="12" t="s">
        <v>20</v>
      </c>
      <c r="B34" s="13">
        <f>SUM(B26:B33)</f>
        <v>7</v>
      </c>
      <c r="C34" s="14">
        <f>IFERROR(SUM(C26:C33),"")</f>
        <v>1</v>
      </c>
    </row>
    <row r="37" spans="1:5" x14ac:dyDescent="0.25">
      <c r="A37" s="23" t="s">
        <v>59</v>
      </c>
      <c r="B37" s="24"/>
      <c r="C37" s="24"/>
      <c r="D37" s="24"/>
      <c r="E37" s="24"/>
    </row>
    <row r="38" spans="1:5" ht="18" customHeight="1" x14ac:dyDescent="0.25">
      <c r="A38" s="1" t="s">
        <v>60</v>
      </c>
      <c r="D38" s="10">
        <f>N(Babies!D21)</f>
        <v>5</v>
      </c>
    </row>
    <row r="39" spans="1:5" ht="18" customHeight="1" x14ac:dyDescent="0.25">
      <c r="A39" s="1" t="s">
        <v>61</v>
      </c>
      <c r="D39" s="10">
        <f>B26</f>
        <v>5</v>
      </c>
    </row>
    <row r="40" spans="1:5" ht="18" customHeight="1" x14ac:dyDescent="0.25">
      <c r="A40" s="27" t="s">
        <v>62</v>
      </c>
      <c r="D40" s="28" t="str">
        <f>IF(D38=D39,"Match","Check - totals differ")</f>
        <v>Match</v>
      </c>
    </row>
  </sheetData>
  <mergeCells count="3">
    <mergeCell ref="C1:E2"/>
    <mergeCell ref="C3:E3"/>
    <mergeCell ref="A6:E6"/>
  </mergeCells>
  <conditionalFormatting sqref="B33">
    <cfRule type="cellIs" dxfId="2" priority="2" operator="greaterThan">
      <formula>0</formula>
    </cfRule>
  </conditionalFormatting>
  <conditionalFormatting sqref="D40">
    <cfRule type="expression" dxfId="1" priority="3">
      <formula>D40="Match"</formula>
    </cfRule>
    <cfRule type="expression" dxfId="0" priority="4">
      <formula>D40&lt;&gt;"Match"</formula>
    </cfRule>
  </conditionalFormatting>
  <dataValidations count="3">
    <dataValidation type="whole" operator="greaterThanOrEqual" allowBlank="1" showErrorMessage="1" errorTitle="Whole numbers only" error="Please enter a whole number (0 or more)." sqref="B9:B20">
      <formula1>0</formula1>
      <formula2>0</formula2>
    </dataValidation>
    <dataValidation type="whole" allowBlank="1" showErrorMessage="1" errorTitle="Whole numbers only" error="Please enter an age in whole years (0-120)." sqref="C9:C20">
      <formula1>0</formula1>
      <formula2>120</formula2>
    </dataValidation>
    <dataValidation type="list" errorStyle="warning" allowBlank="1" showErrorMessage="1" errorTitle="Department not in list" error="This department is not in the list below the table, so it will count as &quot;Not assigned&quot;. Continue?" sqref="D9:D20">
      <formula1>$A$26:$A$32</formula1>
      <formula2>0</formula2>
    </dataValidation>
  </dataValidations>
  <printOptions horizontalCentered="1"/>
  <pageMargins left="0.4" right="0.4" top="0.5" bottom="0.6" header="0.511811023622047" footer="0.5"/>
  <pageSetup paperSize="9" orientation="landscape" horizontalDpi="300" verticalDpi="300"/>
  <headerFooter>
    <oddFooter>&amp;L&amp;"Arial,Regular"&amp;8 Dream Medical Center Hospital&amp;C&amp;"Arial,Regular"&amp;8 Page &amp;P of &amp;N&amp;R&amp;"Arial,Regular"&amp;8 Printed &amp;D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6058"/>
    <pageSetUpPr fitToPage="1"/>
  </sheetPr>
  <dimension ref="A1:D33"/>
  <sheetViews>
    <sheetView showGridLines="0" topLeftCell="A13" zoomScaleNormal="100" workbookViewId="0">
      <selection activeCell="K21" sqref="K21"/>
    </sheetView>
  </sheetViews>
  <sheetFormatPr defaultColWidth="8.7109375" defaultRowHeight="15" x14ac:dyDescent="0.25"/>
  <cols>
    <col min="1" max="1" width="32" customWidth="1"/>
    <col min="2" max="2" width="62" customWidth="1"/>
    <col min="3" max="3" width="16" customWidth="1"/>
    <col min="4" max="4" width="52" customWidth="1"/>
  </cols>
  <sheetData>
    <row r="1" spans="1:4" ht="15.75" customHeight="1" x14ac:dyDescent="0.25">
      <c r="B1" s="44" t="s">
        <v>63</v>
      </c>
      <c r="C1" s="44"/>
      <c r="D1" s="44"/>
    </row>
    <row r="2" spans="1:4" ht="15.75" customHeight="1" x14ac:dyDescent="0.25">
      <c r="B2" s="44"/>
      <c r="C2" s="44"/>
      <c r="D2" s="44"/>
    </row>
    <row r="3" spans="1:4" ht="15.75" customHeight="1" x14ac:dyDescent="0.25">
      <c r="B3" s="45" t="str">
        <f>"Dream Medical Center Hospital  |  Reporting year "&amp;ReportYear</f>
        <v>Dream Medical Center Hospital  |  Reporting year 2026</v>
      </c>
      <c r="C3" s="45"/>
      <c r="D3" s="45"/>
    </row>
    <row r="4" spans="1:4" ht="4.5" customHeight="1" x14ac:dyDescent="0.25">
      <c r="A4" s="2"/>
      <c r="B4" s="2"/>
      <c r="C4" s="2"/>
      <c r="D4" s="2"/>
    </row>
    <row r="5" spans="1:4" ht="7.5" customHeight="1" x14ac:dyDescent="0.25"/>
    <row r="6" spans="1:4" ht="21.75" customHeight="1" x14ac:dyDescent="0.25">
      <c r="A6" s="29" t="s">
        <v>64</v>
      </c>
      <c r="B6" s="24"/>
      <c r="C6" s="24"/>
      <c r="D6" s="24"/>
    </row>
    <row r="7" spans="1:4" ht="33.75" customHeight="1" x14ac:dyDescent="0.25">
      <c r="A7" s="30" t="s">
        <v>65</v>
      </c>
      <c r="B7" s="48" t="s">
        <v>66</v>
      </c>
      <c r="C7" s="48"/>
      <c r="D7" s="48"/>
    </row>
    <row r="8" spans="1:4" ht="19.5" customHeight="1" x14ac:dyDescent="0.25">
      <c r="A8" s="30" t="s">
        <v>67</v>
      </c>
      <c r="B8" s="48" t="s">
        <v>68</v>
      </c>
      <c r="C8" s="48"/>
      <c r="D8" s="48"/>
    </row>
    <row r="9" spans="1:4" ht="19.5" customHeight="1" x14ac:dyDescent="0.25">
      <c r="A9" s="30" t="s">
        <v>69</v>
      </c>
      <c r="B9" s="48" t="s">
        <v>70</v>
      </c>
      <c r="C9" s="48"/>
      <c r="D9" s="48"/>
    </row>
    <row r="10" spans="1:4" ht="33.75" customHeight="1" x14ac:dyDescent="0.25">
      <c r="A10" s="30" t="s">
        <v>71</v>
      </c>
      <c r="B10" s="48" t="s">
        <v>72</v>
      </c>
      <c r="C10" s="48"/>
      <c r="D10" s="48"/>
    </row>
    <row r="11" spans="1:4" ht="33.75" customHeight="1" x14ac:dyDescent="0.25">
      <c r="A11" s="30" t="s">
        <v>73</v>
      </c>
      <c r="B11" s="48" t="s">
        <v>74</v>
      </c>
      <c r="C11" s="48"/>
      <c r="D11" s="48"/>
    </row>
    <row r="13" spans="1:4" ht="21.75" customHeight="1" x14ac:dyDescent="0.25">
      <c r="A13" s="29" t="s">
        <v>75</v>
      </c>
      <c r="B13" s="24"/>
      <c r="C13" s="24"/>
      <c r="D13" s="24"/>
    </row>
    <row r="14" spans="1:4" ht="19.5" customHeight="1" x14ac:dyDescent="0.25">
      <c r="A14" s="31" t="s">
        <v>76</v>
      </c>
      <c r="B14" s="50" t="s">
        <v>77</v>
      </c>
      <c r="C14" s="50"/>
      <c r="D14" s="50"/>
    </row>
    <row r="15" spans="1:4" ht="19.5" customHeight="1" x14ac:dyDescent="0.25">
      <c r="A15" s="32" t="s">
        <v>78</v>
      </c>
      <c r="B15" s="50" t="s">
        <v>79</v>
      </c>
      <c r="C15" s="50"/>
      <c r="D15" s="50"/>
    </row>
    <row r="16" spans="1:4" ht="19.5" customHeight="1" x14ac:dyDescent="0.25">
      <c r="A16" s="33" t="s">
        <v>80</v>
      </c>
      <c r="B16" s="50" t="s">
        <v>81</v>
      </c>
      <c r="C16" s="50"/>
      <c r="D16" s="50"/>
    </row>
    <row r="18" spans="1:4" ht="21.75" customHeight="1" x14ac:dyDescent="0.25">
      <c r="A18" s="29" t="s">
        <v>82</v>
      </c>
      <c r="B18" s="24"/>
      <c r="C18" s="24"/>
      <c r="D18" s="24"/>
    </row>
    <row r="19" spans="1:4" ht="24" customHeight="1" x14ac:dyDescent="0.25">
      <c r="A19" s="34" t="s">
        <v>83</v>
      </c>
      <c r="B19" s="34" t="s">
        <v>84</v>
      </c>
      <c r="C19" s="35" t="s">
        <v>85</v>
      </c>
      <c r="D19" s="34" t="s">
        <v>86</v>
      </c>
    </row>
    <row r="20" spans="1:4" ht="30" customHeight="1" x14ac:dyDescent="0.25">
      <c r="A20" s="36" t="s">
        <v>87</v>
      </c>
      <c r="B20" s="37" t="s">
        <v>88</v>
      </c>
      <c r="C20" s="38">
        <f>IF(COUNT(Outpatient!B9:B21)=0,"",SUM(Outpatient!B9:B21))</f>
        <v>7917</v>
      </c>
      <c r="D20" s="39" t="s">
        <v>89</v>
      </c>
    </row>
    <row r="21" spans="1:4" ht="30" customHeight="1" x14ac:dyDescent="0.25">
      <c r="A21" s="36" t="s">
        <v>90</v>
      </c>
      <c r="B21" s="37" t="s">
        <v>91</v>
      </c>
      <c r="C21" s="38">
        <f>SUM(Outpatient!B9:M9)</f>
        <v>9565</v>
      </c>
      <c r="D21" s="39" t="s">
        <v>92</v>
      </c>
    </row>
    <row r="22" spans="1:4" ht="30" customHeight="1" x14ac:dyDescent="0.25">
      <c r="A22" s="36" t="s">
        <v>93</v>
      </c>
      <c r="B22" s="37" t="s">
        <v>94</v>
      </c>
      <c r="C22" s="38">
        <f>IFERROR(AVERAGE(Outpatient!B9:M9),"")</f>
        <v>1062.7777777777778</v>
      </c>
      <c r="D22" s="39" t="s">
        <v>95</v>
      </c>
    </row>
    <row r="23" spans="1:4" ht="19.5" customHeight="1" x14ac:dyDescent="0.25">
      <c r="A23" s="36" t="s">
        <v>96</v>
      </c>
      <c r="B23" s="37" t="s">
        <v>97</v>
      </c>
      <c r="C23" s="40">
        <f>IFERROR(Outpatient!N9/Outpatient!$N$22,"")</f>
        <v>0.13223380429673459</v>
      </c>
      <c r="D23" s="39" t="s">
        <v>98</v>
      </c>
    </row>
    <row r="24" spans="1:4" ht="30" customHeight="1" x14ac:dyDescent="0.25">
      <c r="A24" s="36" t="s">
        <v>99</v>
      </c>
      <c r="B24" s="37" t="s">
        <v>100</v>
      </c>
      <c r="C24" s="41">
        <f>IFERROR(Outpatient!C22/Outpatient!B22-1,"")</f>
        <v>-3.6124794745484357E-2</v>
      </c>
      <c r="D24" s="39" t="s">
        <v>101</v>
      </c>
    </row>
    <row r="25" spans="1:4" ht="30" customHeight="1" x14ac:dyDescent="0.25">
      <c r="A25" s="36" t="s">
        <v>102</v>
      </c>
      <c r="B25" s="37" t="s">
        <v>103</v>
      </c>
      <c r="C25" s="40">
        <f>IFERROR(Babies!F21/Babies!B21,"")</f>
        <v>0.55874439461883407</v>
      </c>
      <c r="D25" s="39" t="s">
        <v>104</v>
      </c>
    </row>
    <row r="26" spans="1:4" ht="30" customHeight="1" x14ac:dyDescent="0.25">
      <c r="A26" s="36" t="s">
        <v>105</v>
      </c>
      <c r="B26" s="37" t="s">
        <v>106</v>
      </c>
      <c r="C26" s="42">
        <f>SUMPRODUCT(MAX((Outpatient!B22:M22&lt;&gt;"")*(COLUMN(Outpatient!B22:M22)-COLUMN(Outpatient!B22)+1)))</f>
        <v>9</v>
      </c>
      <c r="D26" s="39" t="s">
        <v>107</v>
      </c>
    </row>
    <row r="27" spans="1:4" ht="19.5" customHeight="1" x14ac:dyDescent="0.25">
      <c r="A27" s="36" t="s">
        <v>108</v>
      </c>
      <c r="B27" s="37" t="s">
        <v>109</v>
      </c>
      <c r="C27" s="42">
        <f>COUNT(Outpatient!B22:M22)</f>
        <v>9</v>
      </c>
      <c r="D27" s="39" t="s">
        <v>110</v>
      </c>
    </row>
    <row r="28" spans="1:4" ht="30" customHeight="1" x14ac:dyDescent="0.25">
      <c r="A28" s="36" t="s">
        <v>111</v>
      </c>
      <c r="B28" s="37" t="s">
        <v>112</v>
      </c>
      <c r="C28" s="38">
        <f>INDEX(Outpatient!B9:M21,MATCH("Dental",Outpatient!A9:A21,0),3)</f>
        <v>345</v>
      </c>
      <c r="D28" s="39" t="s">
        <v>113</v>
      </c>
    </row>
    <row r="29" spans="1:4" ht="19.5" customHeight="1" x14ac:dyDescent="0.25">
      <c r="A29" s="36" t="s">
        <v>114</v>
      </c>
      <c r="B29" s="37" t="s">
        <v>115</v>
      </c>
      <c r="C29" s="43" t="str">
        <f>INDEX(Outpatient!A9:A21,MATCH(MAX(Outpatient!N9:N21),Outpatient!N9:N21,0))</f>
        <v>Pediatrics</v>
      </c>
      <c r="D29" s="39" t="s">
        <v>116</v>
      </c>
    </row>
    <row r="30" spans="1:4" ht="30" customHeight="1" x14ac:dyDescent="0.25">
      <c r="A30" s="36" t="s">
        <v>117</v>
      </c>
      <c r="B30" s="37" t="s">
        <v>118</v>
      </c>
      <c r="C30" s="38">
        <f>SUMIFS(Deaths!B9:B20,Deaths!D9:D20,"Maternity")</f>
        <v>5</v>
      </c>
      <c r="D30" s="39" t="s">
        <v>119</v>
      </c>
    </row>
    <row r="31" spans="1:4" ht="30" customHeight="1" x14ac:dyDescent="0.25">
      <c r="A31" s="36" t="s">
        <v>120</v>
      </c>
      <c r="B31" s="37" t="s">
        <v>121</v>
      </c>
      <c r="C31" s="41">
        <f>IFERROR('Births by Year'!B15/'Births by Year'!B14-1,"")</f>
        <v>-2.7758501040944239E-3</v>
      </c>
      <c r="D31" s="39" t="s">
        <v>122</v>
      </c>
    </row>
    <row r="33" spans="1:4" ht="36" customHeight="1" x14ac:dyDescent="0.25">
      <c r="A33" s="49" t="s">
        <v>123</v>
      </c>
      <c r="B33" s="49"/>
      <c r="C33" s="49"/>
      <c r="D33" s="49"/>
    </row>
  </sheetData>
  <mergeCells count="11">
    <mergeCell ref="A33:D33"/>
    <mergeCell ref="B10:D10"/>
    <mergeCell ref="B11:D11"/>
    <mergeCell ref="B14:D14"/>
    <mergeCell ref="B15:D15"/>
    <mergeCell ref="B16:D16"/>
    <mergeCell ref="B1:D2"/>
    <mergeCell ref="B3:D3"/>
    <mergeCell ref="B7:D7"/>
    <mergeCell ref="B8:D8"/>
    <mergeCell ref="B9:D9"/>
  </mergeCells>
  <printOptions horizontalCentered="1"/>
  <pageMargins left="0.4" right="0.4" top="0.5" bottom="0.6" header="0.511811023622047" footer="0.5"/>
  <pageSetup paperSize="9" fitToHeight="0" orientation="landscape" horizontalDpi="300" verticalDpi="300"/>
  <headerFooter>
    <oddFooter>&amp;L&amp;"Arial,Regular"&amp;8 Dream Medical Center Hospital&amp;C&amp;"Arial,Regular"&amp;8 Page &amp;P of &amp;N&amp;R&amp;"Arial,Regular"&amp;8 Printed &amp;D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Outpatient</vt:lpstr>
      <vt:lpstr>Inpatient</vt:lpstr>
      <vt:lpstr>Babies</vt:lpstr>
      <vt:lpstr>Births by Year</vt:lpstr>
      <vt:lpstr>Deaths</vt:lpstr>
      <vt:lpstr>Guide</vt:lpstr>
      <vt:lpstr>Babies!Print_Area</vt:lpstr>
      <vt:lpstr>'Births by Year'!Print_Area</vt:lpstr>
      <vt:lpstr>Deaths!Print_Area</vt:lpstr>
      <vt:lpstr>Guide!Print_Area</vt:lpstr>
      <vt:lpstr>Inpatient!Print_Area</vt:lpstr>
      <vt:lpstr>Outpatient!Print_Area</vt:lpstr>
      <vt:lpstr>ReportYear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DMC Patient Statistics Template</dc:title>
  <dc:subject/>
  <dc:creator>Dream Medical Center Hospital</dc:creator>
  <dc:description/>
  <cp:lastModifiedBy>Kagingo Bryan</cp:lastModifiedBy>
  <cp:revision>0</cp:revision>
  <dcterms:created xsi:type="dcterms:W3CDTF">2026-10-04T10:04:43Z</dcterms:created>
  <dcterms:modified xsi:type="dcterms:W3CDTF">2026-10-06T08:09:14Z</dcterms:modified>
  <dc:language>en-US</dc:language>
</cp:coreProperties>
</file>