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gin\Downloads\"/>
    </mc:Choice>
  </mc:AlternateContent>
  <bookViews>
    <workbookView xWindow="0" yWindow="0" windowWidth="20490" windowHeight="8235" activeTab="2"/>
  </bookViews>
  <sheets>
    <sheet name="OUT PATIENT PER DEPARTEMENT" sheetId="4" r:id="rId1"/>
    <sheet name="INPATIENT PER DEPARTEMENT" sheetId="5" r:id="rId2"/>
    <sheet name="BABIES TOTAL" sheetId="8" r:id="rId3"/>
    <sheet name="Death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9" l="1"/>
  <c r="D26" i="8"/>
  <c r="C26" i="8"/>
  <c r="B26" i="8"/>
  <c r="G14" i="8"/>
  <c r="F14" i="8"/>
  <c r="C14" i="8"/>
  <c r="B14" i="8"/>
  <c r="O11" i="5"/>
  <c r="J12" i="5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10" i="5" l="1"/>
  <c r="O9" i="5"/>
  <c r="O8" i="5"/>
  <c r="O7" i="5"/>
  <c r="O6" i="5"/>
  <c r="O5" i="5"/>
  <c r="O4" i="5"/>
  <c r="O3" i="5"/>
  <c r="C12" i="5" l="1"/>
  <c r="C17" i="4" l="1"/>
  <c r="H17" i="4" l="1"/>
  <c r="G17" i="4"/>
  <c r="F17" i="4"/>
  <c r="E17" i="4"/>
  <c r="D17" i="4"/>
  <c r="H12" i="5"/>
  <c r="G12" i="5"/>
  <c r="F12" i="5"/>
  <c r="E12" i="5"/>
  <c r="D12" i="5"/>
  <c r="N12" i="5" l="1"/>
  <c r="N17" i="4"/>
  <c r="I17" i="4" l="1"/>
  <c r="M17" i="4"/>
  <c r="I12" i="5"/>
  <c r="O12" i="5" s="1"/>
  <c r="K12" i="5"/>
  <c r="L12" i="5"/>
  <c r="M12" i="5"/>
  <c r="L17" i="4" l="1"/>
  <c r="K17" i="4" l="1"/>
  <c r="J17" i="4" l="1"/>
  <c r="O17" i="4" s="1"/>
  <c r="E23" i="8" l="1"/>
  <c r="E22" i="8"/>
  <c r="E21" i="8"/>
  <c r="E20" i="8"/>
  <c r="E19" i="8"/>
  <c r="E18" i="8"/>
  <c r="E26" i="8" l="1"/>
</calcChain>
</file>

<file path=xl/sharedStrings.xml><?xml version="1.0" encoding="utf-8"?>
<sst xmlns="http://schemas.openxmlformats.org/spreadsheetml/2006/main" count="66" uniqueCount="44">
  <si>
    <t>Deliveries at health facility</t>
  </si>
  <si>
    <t>births live</t>
  </si>
  <si>
    <t>OUT PATIENT</t>
  </si>
  <si>
    <t>INTERNAL MED</t>
  </si>
  <si>
    <t>PEDIATRICS</t>
  </si>
  <si>
    <t xml:space="preserve">GENERAL MED </t>
  </si>
  <si>
    <t>GYNE &amp; OBS</t>
  </si>
  <si>
    <t>DENTAL</t>
  </si>
  <si>
    <t>OPHTALMOLOGY</t>
  </si>
  <si>
    <t>PHYSIOTHERAPY</t>
  </si>
  <si>
    <t>UROLOGY</t>
  </si>
  <si>
    <t>ENT SERVICE</t>
  </si>
  <si>
    <t>EMERGENCY</t>
  </si>
  <si>
    <t>TOTAL</t>
  </si>
  <si>
    <t>UROLOGY SURGERY</t>
  </si>
  <si>
    <t>NEONATOLOGY</t>
  </si>
  <si>
    <t>periodname</t>
  </si>
  <si>
    <t>Deliveries by Caesarean Section</t>
  </si>
  <si>
    <t>SVD</t>
  </si>
  <si>
    <t xml:space="preserve">TOTAL </t>
  </si>
  <si>
    <t>Total</t>
  </si>
  <si>
    <t>DEPARTMENTS</t>
  </si>
  <si>
    <t>period</t>
  </si>
  <si>
    <t>INPATIENT BY DEPARTMENTS</t>
  </si>
  <si>
    <t xml:space="preserve">  </t>
  </si>
  <si>
    <t xml:space="preserve"> </t>
  </si>
  <si>
    <t>VACCINATION</t>
  </si>
  <si>
    <t>GN SURGERY</t>
  </si>
  <si>
    <t>ORTHOPEDIC</t>
  </si>
  <si>
    <t>GENERAL SURGERY</t>
  </si>
  <si>
    <t xml:space="preserve">ORTHO SURG </t>
  </si>
  <si>
    <t>Death at the HF</t>
  </si>
  <si>
    <t>Age</t>
  </si>
  <si>
    <t xml:space="preserve">Departement </t>
  </si>
  <si>
    <t>Circonstance</t>
  </si>
  <si>
    <t>Still births macerated</t>
  </si>
  <si>
    <t>Death</t>
  </si>
  <si>
    <t>Circumstances of death</t>
  </si>
  <si>
    <t>Maternity</t>
  </si>
  <si>
    <t>Internal medecine</t>
  </si>
  <si>
    <t>Natural disease ( cancer)</t>
  </si>
  <si>
    <t>Emergency</t>
  </si>
  <si>
    <t>Natural disease</t>
  </si>
  <si>
    <t>DELIVERIES/BABIES FROM 2019 UP TO JULY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</si>
</sst>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12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5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9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164" fontId="2" fillId="0" borderId="1" xfId="0" applyNumberFormat="1" applyFont="1" applyBorder="1"/>
    <xf numFmtId="0" fontId="2" fillId="0" borderId="1" xfId="0" applyFont="1" applyBorder="1"/>
    <xf numFmtId="164" fontId="0" fillId="0" borderId="1" xfId="0" applyNumberFormat="1" applyBorder="1"/>
    <xf numFmtId="1" fontId="0" fillId="0" borderId="1" xfId="0" applyNumberFormat="1" applyBorder="1"/>
    <xf numFmtId="1" fontId="10" fillId="0" borderId="1" xfId="0" applyNumberFormat="1" applyFont="1" applyBorder="1"/>
    <xf numFmtId="1" fontId="1" fillId="0" borderId="1" xfId="0" applyNumberFormat="1" applyFont="1" applyBorder="1"/>
    <xf numFmtId="0" fontId="5" fillId="0" borderId="1" xfId="0" applyFont="1" applyBorder="1"/>
    <xf numFmtId="17" fontId="11" fillId="2" borderId="1" xfId="0" applyNumberFormat="1" applyFont="1" applyFill="1" applyBorder="1" applyAlignment="1">
      <alignment wrapText="1"/>
    </xf>
    <xf numFmtId="17" fontId="11" fillId="2" borderId="1" xfId="0" applyNumberFormat="1" applyFont="1" applyFill="1" applyBorder="1"/>
    <xf numFmtId="0" fontId="11" fillId="2" borderId="1" xfId="0" applyFont="1" applyFill="1" applyBorder="1"/>
    <xf numFmtId="0" fontId="6" fillId="2" borderId="7" xfId="0" applyFont="1" applyFill="1" applyBorder="1"/>
    <xf numFmtId="0" fontId="6" fillId="2" borderId="3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7" fillId="2" borderId="3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left" vertical="top"/>
    </xf>
    <xf numFmtId="0" fontId="0" fillId="2" borderId="1" xfId="0" applyFill="1" applyBorder="1"/>
    <xf numFmtId="0" fontId="6" fillId="2" borderId="6" xfId="0" applyFont="1" applyFill="1" applyBorder="1" applyAlignment="1">
      <alignment horizontal="left"/>
    </xf>
    <xf numFmtId="0" fontId="11" fillId="2" borderId="4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 vertical="top"/>
    </xf>
    <xf numFmtId="0" fontId="6" fillId="2" borderId="7" xfId="0" applyFont="1" applyFill="1" applyBorder="1" applyAlignment="1">
      <alignment horizontal="left" vertical="top"/>
    </xf>
    <xf numFmtId="17" fontId="11" fillId="2" borderId="1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 vertical="top"/>
    </xf>
    <xf numFmtId="0" fontId="7" fillId="2" borderId="8" xfId="0" applyFont="1" applyFill="1" applyBorder="1" applyAlignment="1">
      <alignment horizontal="left" vertical="top"/>
    </xf>
    <xf numFmtId="0" fontId="8" fillId="2" borderId="8" xfId="0" applyFont="1" applyFill="1" applyBorder="1" applyAlignment="1">
      <alignment horizontal="left" vertical="top"/>
    </xf>
    <xf numFmtId="0" fontId="8" fillId="2" borderId="3" xfId="0" applyFont="1" applyFill="1" applyBorder="1" applyAlignment="1">
      <alignment horizontal="left" vertical="top"/>
    </xf>
    <xf numFmtId="0" fontId="8" fillId="2" borderId="4" xfId="0" applyFont="1" applyFill="1" applyBorder="1" applyAlignment="1">
      <alignment horizontal="left" vertical="top"/>
    </xf>
    <xf numFmtId="0" fontId="12" fillId="0" borderId="0" xfId="0" applyFont="1"/>
    <xf numFmtId="0" fontId="2" fillId="0" borderId="1" xfId="0" applyFont="1" applyBorder="1" applyAlignment="1">
      <alignment wrapText="1"/>
    </xf>
    <xf numFmtId="0" fontId="13" fillId="0" borderId="0" xfId="0" applyFont="1"/>
    <xf numFmtId="0" fontId="6" fillId="2" borderId="3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11" fillId="2" borderId="3" xfId="0" applyFont="1" applyFill="1" applyBorder="1" applyAlignment="1">
      <alignment horizontal="left"/>
    </xf>
    <xf numFmtId="0" fontId="11" fillId="2" borderId="4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 vertical="top"/>
    </xf>
    <xf numFmtId="0" fontId="8" fillId="2" borderId="4" xfId="0" applyFont="1" applyFill="1" applyBorder="1" applyAlignment="1">
      <alignment horizontal="left" vertical="top"/>
    </xf>
    <xf numFmtId="0" fontId="7" fillId="2" borderId="3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0"/>
  <sheetViews>
    <sheetView zoomScaleNormal="100" workbookViewId="0">
      <selection activeCell="S37" sqref="S37"/>
    </sheetView>
  </sheetViews>
  <sheetFormatPr defaultColWidth="9.140625" defaultRowHeight="15" x14ac:dyDescent="0.25"/>
  <cols>
    <col min="1" max="1" width="9.140625" customWidth="1"/>
    <col min="2" max="2" width="17.42578125" customWidth="1"/>
    <col min="3" max="3" width="7.42578125" customWidth="1"/>
    <col min="4" max="4" width="9.28515625" customWidth="1"/>
    <col min="5" max="5" width="8" bestFit="1" customWidth="1"/>
    <col min="6" max="6" width="7.5703125" bestFit="1" customWidth="1"/>
    <col min="7" max="7" width="8.28515625" bestFit="1" customWidth="1"/>
    <col min="8" max="8" width="7.28515625" customWidth="1"/>
    <col min="9" max="9" width="8.28515625" customWidth="1"/>
    <col min="12" max="14" width="8.7109375" customWidth="1"/>
  </cols>
  <sheetData>
    <row r="2" spans="1:16" ht="15.75" x14ac:dyDescent="0.25">
      <c r="A2" s="46" t="s">
        <v>2</v>
      </c>
      <c r="B2" s="46"/>
      <c r="C2" s="46"/>
      <c r="D2" s="46"/>
      <c r="E2" s="46"/>
      <c r="F2" s="46"/>
      <c r="G2" s="46"/>
      <c r="H2" s="46"/>
      <c r="I2" s="46"/>
    </row>
    <row r="3" spans="1:16" ht="15.75" x14ac:dyDescent="0.25">
      <c r="A3" s="47" t="s">
        <v>21</v>
      </c>
      <c r="B3" s="47"/>
      <c r="C3" s="31">
        <v>46023</v>
      </c>
      <c r="D3" s="31">
        <v>46054</v>
      </c>
      <c r="E3" s="31">
        <v>46082</v>
      </c>
      <c r="F3" s="31">
        <v>46113</v>
      </c>
      <c r="G3" s="31">
        <v>46143</v>
      </c>
      <c r="H3" s="31">
        <v>46174</v>
      </c>
      <c r="I3" s="17">
        <v>46204</v>
      </c>
      <c r="J3" s="18">
        <v>46235</v>
      </c>
      <c r="K3" s="18">
        <v>46266</v>
      </c>
      <c r="L3" s="18">
        <v>46296</v>
      </c>
      <c r="M3" s="18">
        <v>46327</v>
      </c>
      <c r="N3" s="18">
        <v>46357</v>
      </c>
      <c r="O3" s="2" t="s">
        <v>20</v>
      </c>
    </row>
    <row r="4" spans="1:16" s="4" customFormat="1" ht="15.75" x14ac:dyDescent="0.25">
      <c r="A4" s="48" t="s">
        <v>3</v>
      </c>
      <c r="B4" s="49"/>
      <c r="C4" s="26">
        <v>1080</v>
      </c>
      <c r="D4" s="26">
        <v>965</v>
      </c>
      <c r="E4" s="26">
        <v>1016</v>
      </c>
      <c r="F4" s="26">
        <v>1031</v>
      </c>
      <c r="G4" s="26">
        <v>1123</v>
      </c>
      <c r="H4" s="26">
        <v>1079</v>
      </c>
      <c r="I4" s="20">
        <v>1105</v>
      </c>
      <c r="J4" s="40">
        <v>1073</v>
      </c>
      <c r="K4" s="20"/>
      <c r="L4" s="20"/>
      <c r="M4" s="20"/>
      <c r="N4" s="20"/>
      <c r="O4" s="16">
        <f t="shared" ref="O4:O17" si="0">C4+D4+E4+F4+G4+H4+I4+J4</f>
        <v>8472</v>
      </c>
    </row>
    <row r="5" spans="1:16" ht="15.6" customHeight="1" x14ac:dyDescent="0.25">
      <c r="A5" s="41" t="s">
        <v>4</v>
      </c>
      <c r="B5" s="42"/>
      <c r="C5" s="29">
        <v>1508</v>
      </c>
      <c r="D5" s="29">
        <v>1629</v>
      </c>
      <c r="E5" s="29">
        <v>1740</v>
      </c>
      <c r="F5" s="29">
        <v>1321</v>
      </c>
      <c r="G5" s="29">
        <v>1579</v>
      </c>
      <c r="H5" s="29">
        <v>1487</v>
      </c>
      <c r="I5" s="20">
        <v>1191</v>
      </c>
      <c r="J5" s="20">
        <v>1099</v>
      </c>
      <c r="K5" s="20"/>
      <c r="L5" s="20"/>
      <c r="M5" s="20"/>
      <c r="N5" s="20"/>
      <c r="O5" s="16">
        <f t="shared" si="0"/>
        <v>11554</v>
      </c>
    </row>
    <row r="6" spans="1:16" s="4" customFormat="1" ht="15.75" x14ac:dyDescent="0.25">
      <c r="A6" s="41" t="s">
        <v>5</v>
      </c>
      <c r="B6" s="42"/>
      <c r="C6" s="29">
        <v>1355</v>
      </c>
      <c r="D6" s="29">
        <v>1281</v>
      </c>
      <c r="E6" s="29">
        <v>1540</v>
      </c>
      <c r="F6" s="29">
        <v>1361</v>
      </c>
      <c r="G6" s="29">
        <v>1332</v>
      </c>
      <c r="H6" s="29">
        <v>1560</v>
      </c>
      <c r="I6" s="20">
        <v>1342</v>
      </c>
      <c r="J6" s="20">
        <v>1515</v>
      </c>
      <c r="K6" s="20"/>
      <c r="L6" s="20"/>
      <c r="M6" s="20"/>
      <c r="N6" s="20"/>
      <c r="O6" s="16">
        <f t="shared" si="0"/>
        <v>11286</v>
      </c>
    </row>
    <row r="7" spans="1:16" s="5" customFormat="1" ht="15.75" x14ac:dyDescent="0.25">
      <c r="A7" s="41" t="s">
        <v>6</v>
      </c>
      <c r="B7" s="42"/>
      <c r="C7" s="29">
        <v>1218</v>
      </c>
      <c r="D7" s="29">
        <v>1095</v>
      </c>
      <c r="E7" s="29">
        <v>1095</v>
      </c>
      <c r="F7" s="29">
        <v>1103</v>
      </c>
      <c r="G7" s="29">
        <v>1181</v>
      </c>
      <c r="H7" s="29">
        <v>1033</v>
      </c>
      <c r="I7" s="20">
        <v>1136</v>
      </c>
      <c r="J7" s="20">
        <v>1091</v>
      </c>
      <c r="K7" s="20"/>
      <c r="L7" s="20"/>
      <c r="M7" s="20"/>
      <c r="N7" s="20"/>
      <c r="O7" s="16">
        <f t="shared" si="0"/>
        <v>8952</v>
      </c>
    </row>
    <row r="8" spans="1:16" s="4" customFormat="1" ht="15.75" x14ac:dyDescent="0.25">
      <c r="A8" s="41" t="s">
        <v>7</v>
      </c>
      <c r="B8" s="42"/>
      <c r="C8" s="29">
        <v>324</v>
      </c>
      <c r="D8" s="29">
        <v>314</v>
      </c>
      <c r="E8" s="29">
        <v>345</v>
      </c>
      <c r="F8" s="29">
        <v>327</v>
      </c>
      <c r="G8" s="29">
        <v>268</v>
      </c>
      <c r="H8" s="29">
        <v>305</v>
      </c>
      <c r="I8" s="20">
        <v>333</v>
      </c>
      <c r="J8" s="20">
        <v>333</v>
      </c>
      <c r="K8" s="20"/>
      <c r="L8" s="20"/>
      <c r="M8" s="20"/>
      <c r="N8" s="20"/>
      <c r="O8" s="16">
        <f t="shared" si="0"/>
        <v>2549</v>
      </c>
    </row>
    <row r="9" spans="1:16" s="4" customFormat="1" ht="15.75" x14ac:dyDescent="0.25">
      <c r="A9" s="41" t="s">
        <v>8</v>
      </c>
      <c r="B9" s="42"/>
      <c r="C9" s="29">
        <v>131</v>
      </c>
      <c r="D9" s="29">
        <v>139</v>
      </c>
      <c r="E9" s="29">
        <v>161</v>
      </c>
      <c r="F9" s="29">
        <v>171</v>
      </c>
      <c r="G9" s="29">
        <v>148</v>
      </c>
      <c r="H9" s="29">
        <v>143</v>
      </c>
      <c r="I9" s="20">
        <v>150</v>
      </c>
      <c r="J9" s="20">
        <v>143</v>
      </c>
      <c r="K9" s="20"/>
      <c r="L9" s="20"/>
      <c r="M9" s="20"/>
      <c r="N9" s="20"/>
      <c r="O9" s="16">
        <f t="shared" si="0"/>
        <v>1186</v>
      </c>
    </row>
    <row r="10" spans="1:16" s="4" customFormat="1" ht="15.75" x14ac:dyDescent="0.25">
      <c r="A10" s="21" t="s">
        <v>29</v>
      </c>
      <c r="B10" s="22"/>
      <c r="C10" s="29">
        <v>59</v>
      </c>
      <c r="D10" s="29">
        <v>58</v>
      </c>
      <c r="E10" s="29">
        <v>54</v>
      </c>
      <c r="F10" s="29">
        <v>66</v>
      </c>
      <c r="G10" s="29">
        <v>35</v>
      </c>
      <c r="H10" s="29">
        <v>77</v>
      </c>
      <c r="I10" s="20">
        <v>182</v>
      </c>
      <c r="J10" s="20">
        <v>195</v>
      </c>
      <c r="K10" s="20"/>
      <c r="L10" s="20"/>
      <c r="M10" s="20"/>
      <c r="N10" s="20"/>
      <c r="O10" s="16">
        <f t="shared" si="0"/>
        <v>726</v>
      </c>
    </row>
    <row r="11" spans="1:16" s="4" customFormat="1" ht="15.75" x14ac:dyDescent="0.25">
      <c r="A11" s="45" t="s">
        <v>30</v>
      </c>
      <c r="B11" s="45"/>
      <c r="C11" s="30">
        <v>424</v>
      </c>
      <c r="D11" s="30">
        <v>462</v>
      </c>
      <c r="E11" s="30">
        <v>433</v>
      </c>
      <c r="F11" s="30">
        <v>390</v>
      </c>
      <c r="G11" s="30">
        <v>378</v>
      </c>
      <c r="H11" s="30">
        <v>374</v>
      </c>
      <c r="I11" s="20">
        <v>479</v>
      </c>
      <c r="J11" s="20">
        <v>519</v>
      </c>
      <c r="K11" s="20"/>
      <c r="L11" s="20"/>
      <c r="M11" s="20"/>
      <c r="N11" s="20"/>
      <c r="O11" s="16">
        <f t="shared" si="0"/>
        <v>3459</v>
      </c>
    </row>
    <row r="12" spans="1:16" ht="15.75" x14ac:dyDescent="0.25">
      <c r="A12" s="45" t="s">
        <v>9</v>
      </c>
      <c r="B12" s="45"/>
      <c r="C12" s="30">
        <v>1069</v>
      </c>
      <c r="D12" s="30">
        <v>1013</v>
      </c>
      <c r="E12" s="30">
        <v>1260</v>
      </c>
      <c r="F12" s="30">
        <v>1263</v>
      </c>
      <c r="G12" s="30">
        <v>1399</v>
      </c>
      <c r="H12" s="30">
        <v>1516</v>
      </c>
      <c r="I12" s="20">
        <v>1404</v>
      </c>
      <c r="J12" s="20">
        <v>1337</v>
      </c>
      <c r="K12" s="20"/>
      <c r="L12" s="20"/>
      <c r="M12" s="20"/>
      <c r="N12" s="20"/>
      <c r="O12" s="16">
        <f t="shared" si="0"/>
        <v>10261</v>
      </c>
    </row>
    <row r="13" spans="1:16" s="4" customFormat="1" ht="15.75" x14ac:dyDescent="0.25">
      <c r="A13" s="41" t="s">
        <v>10</v>
      </c>
      <c r="B13" s="42"/>
      <c r="C13" s="29">
        <v>50</v>
      </c>
      <c r="D13" s="29">
        <v>47</v>
      </c>
      <c r="E13" s="29">
        <v>45</v>
      </c>
      <c r="F13" s="29">
        <v>61</v>
      </c>
      <c r="G13" s="29">
        <v>48</v>
      </c>
      <c r="H13" s="29">
        <v>36</v>
      </c>
      <c r="I13" s="20">
        <v>37</v>
      </c>
      <c r="J13" s="20">
        <v>29</v>
      </c>
      <c r="K13" s="20"/>
      <c r="L13" s="20"/>
      <c r="M13" s="20"/>
      <c r="N13" s="20"/>
      <c r="O13" s="16">
        <f t="shared" si="0"/>
        <v>353</v>
      </c>
    </row>
    <row r="14" spans="1:16" s="4" customFormat="1" ht="15.75" x14ac:dyDescent="0.25">
      <c r="A14" s="41" t="s">
        <v>11</v>
      </c>
      <c r="B14" s="42"/>
      <c r="C14" s="29">
        <v>191</v>
      </c>
      <c r="D14" s="29">
        <v>209</v>
      </c>
      <c r="E14" s="29">
        <v>220</v>
      </c>
      <c r="F14" s="29">
        <v>241</v>
      </c>
      <c r="G14" s="29">
        <v>186</v>
      </c>
      <c r="H14" s="29">
        <v>178</v>
      </c>
      <c r="I14" s="20">
        <v>216</v>
      </c>
      <c r="J14" s="20">
        <v>204</v>
      </c>
      <c r="K14" s="20"/>
      <c r="L14" s="20"/>
      <c r="M14" s="20"/>
      <c r="N14" s="20"/>
      <c r="O14" s="16">
        <f t="shared" si="0"/>
        <v>1645</v>
      </c>
    </row>
    <row r="15" spans="1:16" s="4" customFormat="1" ht="15.75" x14ac:dyDescent="0.25">
      <c r="A15" s="41" t="s">
        <v>12</v>
      </c>
      <c r="B15" s="42"/>
      <c r="C15" s="29">
        <v>2</v>
      </c>
      <c r="D15" s="29">
        <v>4</v>
      </c>
      <c r="E15" s="29">
        <v>3</v>
      </c>
      <c r="F15" s="29">
        <v>1</v>
      </c>
      <c r="G15" s="29">
        <v>4</v>
      </c>
      <c r="H15" s="29">
        <v>3</v>
      </c>
      <c r="I15" s="20">
        <v>1</v>
      </c>
      <c r="J15" s="20">
        <v>2</v>
      </c>
      <c r="K15" s="20"/>
      <c r="L15" s="20"/>
      <c r="M15" s="20"/>
      <c r="N15" s="20"/>
      <c r="O15" s="16">
        <f t="shared" si="0"/>
        <v>20</v>
      </c>
      <c r="P15" s="4" t="s">
        <v>25</v>
      </c>
    </row>
    <row r="16" spans="1:16" s="4" customFormat="1" ht="15.75" x14ac:dyDescent="0.25">
      <c r="A16" s="21" t="s">
        <v>26</v>
      </c>
      <c r="B16" s="22"/>
      <c r="C16" s="29">
        <v>506</v>
      </c>
      <c r="D16" s="29">
        <v>415</v>
      </c>
      <c r="E16" s="29">
        <v>489</v>
      </c>
      <c r="F16" s="29">
        <v>412</v>
      </c>
      <c r="G16" s="29">
        <v>500</v>
      </c>
      <c r="H16" s="29">
        <v>454</v>
      </c>
      <c r="I16" s="20">
        <v>458</v>
      </c>
      <c r="J16" s="20">
        <v>408</v>
      </c>
      <c r="K16" s="20"/>
      <c r="L16" s="20"/>
      <c r="M16" s="20"/>
      <c r="N16" s="20"/>
      <c r="O16" s="16">
        <f t="shared" si="0"/>
        <v>3642</v>
      </c>
    </row>
    <row r="17" spans="1:15" ht="15.75" x14ac:dyDescent="0.25">
      <c r="A17" s="43" t="s">
        <v>13</v>
      </c>
      <c r="B17" s="44"/>
      <c r="C17" s="27">
        <f t="shared" ref="C17:H17" si="1">SUM(C4:C16)</f>
        <v>7917</v>
      </c>
      <c r="D17" s="27">
        <f t="shared" si="1"/>
        <v>7631</v>
      </c>
      <c r="E17" s="27">
        <f t="shared" si="1"/>
        <v>8401</v>
      </c>
      <c r="F17" s="27">
        <f t="shared" si="1"/>
        <v>7748</v>
      </c>
      <c r="G17" s="27">
        <f t="shared" si="1"/>
        <v>8181</v>
      </c>
      <c r="H17" s="27">
        <f t="shared" si="1"/>
        <v>8245</v>
      </c>
      <c r="I17" s="25">
        <f t="shared" ref="I17:N17" si="2">SUM(I4:I16)</f>
        <v>8034</v>
      </c>
      <c r="J17" s="19">
        <f t="shared" si="2"/>
        <v>7948</v>
      </c>
      <c r="K17" s="19">
        <f t="shared" si="2"/>
        <v>0</v>
      </c>
      <c r="L17" s="19">
        <f t="shared" si="2"/>
        <v>0</v>
      </c>
      <c r="M17" s="19">
        <f t="shared" si="2"/>
        <v>0</v>
      </c>
      <c r="N17" s="19">
        <f t="shared" si="2"/>
        <v>0</v>
      </c>
      <c r="O17" s="16">
        <f t="shared" si="0"/>
        <v>64105</v>
      </c>
    </row>
    <row r="18" spans="1:15" x14ac:dyDescent="0.25">
      <c r="I18" s="6"/>
    </row>
    <row r="20" spans="1:15" x14ac:dyDescent="0.25">
      <c r="A20" s="7"/>
      <c r="I20" s="7"/>
    </row>
  </sheetData>
  <mergeCells count="14">
    <mergeCell ref="A7:B7"/>
    <mergeCell ref="A2:I2"/>
    <mergeCell ref="A3:B3"/>
    <mergeCell ref="A4:B4"/>
    <mergeCell ref="A5:B5"/>
    <mergeCell ref="A6:B6"/>
    <mergeCell ref="A14:B14"/>
    <mergeCell ref="A15:B15"/>
    <mergeCell ref="A17:B17"/>
    <mergeCell ref="A8:B8"/>
    <mergeCell ref="A9:B9"/>
    <mergeCell ref="A11:B11"/>
    <mergeCell ref="A12:B12"/>
    <mergeCell ref="A13:B13"/>
  </mergeCells>
  <pageMargins left="0.7" right="0.7" top="0.75" bottom="0.75" header="0.3" footer="0.3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5"/>
  <sheetViews>
    <sheetView zoomScale="96" zoomScaleNormal="96" workbookViewId="0">
      <selection activeCell="C15" sqref="C15"/>
    </sheetView>
  </sheetViews>
  <sheetFormatPr defaultRowHeight="15" x14ac:dyDescent="0.25"/>
  <cols>
    <col min="2" max="2" width="12.42578125" customWidth="1"/>
    <col min="3" max="3" width="7.42578125" bestFit="1" customWidth="1"/>
    <col min="4" max="4" width="7.5703125" bestFit="1" customWidth="1"/>
    <col min="5" max="5" width="11.140625" bestFit="1" customWidth="1"/>
    <col min="6" max="6" width="7.5703125" bestFit="1" customWidth="1"/>
    <col min="7" max="7" width="8.5703125" bestFit="1" customWidth="1"/>
    <col min="8" max="8" width="7.42578125" bestFit="1" customWidth="1"/>
    <col min="9" max="9" width="8.140625" customWidth="1"/>
  </cols>
  <sheetData>
    <row r="2" spans="1:16" ht="15.75" x14ac:dyDescent="0.25">
      <c r="A2" s="55" t="s">
        <v>23</v>
      </c>
      <c r="B2" s="56"/>
      <c r="C2" s="31">
        <v>46023</v>
      </c>
      <c r="D2" s="31">
        <v>46054</v>
      </c>
      <c r="E2" s="31">
        <v>46082</v>
      </c>
      <c r="F2" s="31">
        <v>46113</v>
      </c>
      <c r="G2" s="31">
        <v>46143</v>
      </c>
      <c r="H2" s="31">
        <v>46174</v>
      </c>
      <c r="I2" s="17">
        <v>46204</v>
      </c>
      <c r="J2" s="18">
        <v>46235</v>
      </c>
      <c r="K2" s="18">
        <v>46266</v>
      </c>
      <c r="L2" s="18">
        <v>46296</v>
      </c>
      <c r="M2" s="18">
        <v>46327</v>
      </c>
      <c r="N2" s="18">
        <v>46357</v>
      </c>
      <c r="O2" s="2" t="s">
        <v>20</v>
      </c>
    </row>
    <row r="3" spans="1:16" ht="15.75" x14ac:dyDescent="0.25">
      <c r="A3" s="57" t="s">
        <v>3</v>
      </c>
      <c r="B3" s="58"/>
      <c r="C3" s="32">
        <v>23</v>
      </c>
      <c r="D3" s="32">
        <v>26</v>
      </c>
      <c r="E3" s="32">
        <v>18</v>
      </c>
      <c r="F3" s="32">
        <v>35</v>
      </c>
      <c r="G3" s="32">
        <v>25</v>
      </c>
      <c r="H3" s="32">
        <v>28</v>
      </c>
      <c r="I3" s="8">
        <v>27</v>
      </c>
      <c r="J3" s="8">
        <v>31</v>
      </c>
      <c r="K3" s="1"/>
      <c r="L3" s="1"/>
      <c r="M3" s="1"/>
      <c r="N3" s="1"/>
      <c r="O3" s="1">
        <f t="shared" ref="O3:O10" si="0">C3+D3+E3+F3+G3+H3+I3</f>
        <v>182</v>
      </c>
    </row>
    <row r="4" spans="1:16" ht="15.75" x14ac:dyDescent="0.25">
      <c r="A4" s="59" t="s">
        <v>4</v>
      </c>
      <c r="B4" s="59"/>
      <c r="C4" s="33">
        <v>64</v>
      </c>
      <c r="D4" s="33">
        <v>92</v>
      </c>
      <c r="E4" s="33">
        <v>111</v>
      </c>
      <c r="F4" s="33">
        <v>74</v>
      </c>
      <c r="G4" s="33">
        <v>95</v>
      </c>
      <c r="H4" s="33">
        <v>92</v>
      </c>
      <c r="I4" s="8">
        <v>63</v>
      </c>
      <c r="J4" s="8">
        <v>63</v>
      </c>
      <c r="K4" s="1"/>
      <c r="L4" s="1"/>
      <c r="M4" s="1"/>
      <c r="N4" s="1"/>
      <c r="O4" s="1">
        <f t="shared" si="0"/>
        <v>591</v>
      </c>
    </row>
    <row r="5" spans="1:16" ht="15.75" x14ac:dyDescent="0.25">
      <c r="A5" s="59" t="s">
        <v>6</v>
      </c>
      <c r="B5" s="59"/>
      <c r="C5" s="33">
        <v>165</v>
      </c>
      <c r="D5" s="33">
        <v>154</v>
      </c>
      <c r="E5" s="33">
        <v>169</v>
      </c>
      <c r="F5" s="33">
        <v>177</v>
      </c>
      <c r="G5" s="33">
        <v>169</v>
      </c>
      <c r="H5" s="33">
        <v>150</v>
      </c>
      <c r="I5" s="8">
        <v>161</v>
      </c>
      <c r="J5" s="8">
        <v>143</v>
      </c>
      <c r="K5" s="1"/>
      <c r="L5" s="1"/>
      <c r="M5" s="1"/>
      <c r="N5" s="1"/>
      <c r="O5" s="1">
        <f t="shared" si="0"/>
        <v>1145</v>
      </c>
    </row>
    <row r="6" spans="1:16" ht="15.75" x14ac:dyDescent="0.25">
      <c r="A6" s="23" t="s">
        <v>27</v>
      </c>
      <c r="B6" s="24"/>
      <c r="C6" s="34">
        <v>7</v>
      </c>
      <c r="D6" s="34">
        <v>8</v>
      </c>
      <c r="E6" s="34">
        <v>7</v>
      </c>
      <c r="F6" s="34">
        <v>15</v>
      </c>
      <c r="G6" s="34">
        <v>6</v>
      </c>
      <c r="H6" s="34">
        <v>9</v>
      </c>
      <c r="I6" s="8">
        <v>15</v>
      </c>
      <c r="J6" s="8">
        <v>16</v>
      </c>
      <c r="K6" s="1"/>
      <c r="L6" s="1"/>
      <c r="M6" s="1"/>
      <c r="N6" s="1"/>
      <c r="O6" s="1">
        <f t="shared" si="0"/>
        <v>67</v>
      </c>
    </row>
    <row r="7" spans="1:16" ht="15.75" x14ac:dyDescent="0.25">
      <c r="A7" s="50" t="s">
        <v>28</v>
      </c>
      <c r="B7" s="51"/>
      <c r="C7" s="35">
        <v>53</v>
      </c>
      <c r="D7" s="35">
        <v>63</v>
      </c>
      <c r="E7" s="35">
        <v>47</v>
      </c>
      <c r="F7" s="35">
        <v>34</v>
      </c>
      <c r="G7" s="35">
        <v>40</v>
      </c>
      <c r="H7" s="35">
        <v>52</v>
      </c>
      <c r="I7" s="8">
        <v>59</v>
      </c>
      <c r="J7" s="9">
        <v>67</v>
      </c>
      <c r="K7" s="1"/>
      <c r="L7" s="1"/>
      <c r="M7" s="1"/>
      <c r="N7" s="1"/>
      <c r="O7" s="1">
        <f t="shared" si="0"/>
        <v>348</v>
      </c>
    </row>
    <row r="8" spans="1:16" ht="15.75" x14ac:dyDescent="0.25">
      <c r="A8" s="50" t="s">
        <v>14</v>
      </c>
      <c r="B8" s="51"/>
      <c r="C8" s="35">
        <v>5</v>
      </c>
      <c r="D8" s="35">
        <v>3</v>
      </c>
      <c r="E8" s="35">
        <v>6</v>
      </c>
      <c r="F8" s="35">
        <v>2</v>
      </c>
      <c r="G8" s="35">
        <v>0</v>
      </c>
      <c r="H8" s="35">
        <v>1</v>
      </c>
      <c r="I8" s="8">
        <v>3</v>
      </c>
      <c r="J8" s="8">
        <v>2</v>
      </c>
      <c r="K8" s="1"/>
      <c r="L8" s="1"/>
      <c r="M8" s="1"/>
      <c r="N8" s="1"/>
      <c r="O8" s="1">
        <f t="shared" si="0"/>
        <v>20</v>
      </c>
    </row>
    <row r="9" spans="1:16" ht="15.75" x14ac:dyDescent="0.25">
      <c r="A9" s="52" t="s">
        <v>15</v>
      </c>
      <c r="B9" s="53"/>
      <c r="C9" s="34">
        <v>4</v>
      </c>
      <c r="D9" s="34">
        <v>4</v>
      </c>
      <c r="E9" s="34">
        <v>2</v>
      </c>
      <c r="F9" s="34">
        <v>3</v>
      </c>
      <c r="G9" s="34">
        <v>8</v>
      </c>
      <c r="H9" s="34">
        <v>5</v>
      </c>
      <c r="I9" s="8">
        <v>5</v>
      </c>
      <c r="J9" s="8">
        <v>3</v>
      </c>
      <c r="K9" s="1"/>
      <c r="L9" s="1"/>
      <c r="M9" s="1"/>
      <c r="N9" s="1"/>
      <c r="O9" s="1">
        <f t="shared" si="0"/>
        <v>31</v>
      </c>
    </row>
    <row r="10" spans="1:16" ht="15.75" x14ac:dyDescent="0.25">
      <c r="A10" s="50" t="s">
        <v>11</v>
      </c>
      <c r="B10" s="51"/>
      <c r="C10" s="35">
        <v>27</v>
      </c>
      <c r="D10" s="35">
        <v>34</v>
      </c>
      <c r="E10" s="35">
        <v>27</v>
      </c>
      <c r="F10" s="35">
        <v>84</v>
      </c>
      <c r="G10" s="35">
        <v>42</v>
      </c>
      <c r="H10" s="35">
        <v>44</v>
      </c>
      <c r="I10" s="8">
        <v>55</v>
      </c>
      <c r="J10" s="8">
        <v>96</v>
      </c>
      <c r="K10" s="1"/>
      <c r="L10" s="1"/>
      <c r="M10" s="1"/>
      <c r="N10" s="1"/>
      <c r="O10" s="1">
        <f t="shared" si="0"/>
        <v>313</v>
      </c>
      <c r="P10" t="s">
        <v>24</v>
      </c>
    </row>
    <row r="11" spans="1:16" ht="15.75" x14ac:dyDescent="0.25">
      <c r="A11" s="36" t="s">
        <v>12</v>
      </c>
      <c r="B11" s="37"/>
      <c r="C11" s="35">
        <v>1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8">
        <v>0</v>
      </c>
      <c r="J11" s="8">
        <v>1</v>
      </c>
      <c r="K11" s="1"/>
      <c r="L11" s="1"/>
      <c r="M11" s="1"/>
      <c r="N11" s="1"/>
      <c r="O11" s="1">
        <f>C11+D11+E11+F11+G11+H11+I11+J11</f>
        <v>2</v>
      </c>
    </row>
    <row r="12" spans="1:16" ht="15.75" x14ac:dyDescent="0.25">
      <c r="A12" s="54" t="s">
        <v>13</v>
      </c>
      <c r="B12" s="54"/>
      <c r="C12" s="28">
        <f>SUM(C3:C11)</f>
        <v>349</v>
      </c>
      <c r="D12" s="28">
        <f t="shared" ref="D12:H12" si="1">SUM(D3:D10)</f>
        <v>384</v>
      </c>
      <c r="E12" s="28">
        <f t="shared" si="1"/>
        <v>387</v>
      </c>
      <c r="F12" s="28">
        <f t="shared" si="1"/>
        <v>424</v>
      </c>
      <c r="G12" s="28">
        <f t="shared" si="1"/>
        <v>385</v>
      </c>
      <c r="H12" s="28">
        <f t="shared" si="1"/>
        <v>381</v>
      </c>
      <c r="I12" s="19">
        <f t="shared" ref="I12:M12" si="2">SUM(I3:I10)</f>
        <v>388</v>
      </c>
      <c r="J12" s="19">
        <f>SUM(J3:J11)</f>
        <v>422</v>
      </c>
      <c r="K12" s="2">
        <f t="shared" si="2"/>
        <v>0</v>
      </c>
      <c r="L12" s="2">
        <f t="shared" si="2"/>
        <v>0</v>
      </c>
      <c r="M12" s="2">
        <f t="shared" si="2"/>
        <v>0</v>
      </c>
      <c r="N12" s="2">
        <f>SUM(N3:N10)</f>
        <v>0</v>
      </c>
      <c r="O12" s="1">
        <f>C12+D12+E12+F12+G12+H12+I12+J12</f>
        <v>3120</v>
      </c>
    </row>
    <row r="15" spans="1:16" x14ac:dyDescent="0.25">
      <c r="H15">
        <v>3</v>
      </c>
    </row>
  </sheetData>
  <mergeCells count="9">
    <mergeCell ref="A8:B8"/>
    <mergeCell ref="A9:B9"/>
    <mergeCell ref="A10:B10"/>
    <mergeCell ref="A12:B12"/>
    <mergeCell ref="A2:B2"/>
    <mergeCell ref="A3:B3"/>
    <mergeCell ref="A4:B4"/>
    <mergeCell ref="A5:B5"/>
    <mergeCell ref="A7:B7"/>
  </mergeCells>
  <pageMargins left="0.7" right="0.7" top="0.75" bottom="0.75" header="0.3" footer="0.3"/>
  <pageSetup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topLeftCell="A4" workbookViewId="0">
      <selection activeCell="F9" sqref="F9"/>
    </sheetView>
  </sheetViews>
  <sheetFormatPr defaultRowHeight="15" x14ac:dyDescent="0.25"/>
  <cols>
    <col min="1" max="1" width="12" bestFit="1" customWidth="1"/>
    <col min="2" max="2" width="25.7109375" bestFit="1" customWidth="1"/>
    <col min="3" max="3" width="19.28515625" customWidth="1"/>
    <col min="4" max="6" width="31.140625" bestFit="1" customWidth="1"/>
    <col min="7" max="7" width="18.5703125" customWidth="1"/>
  </cols>
  <sheetData>
    <row r="1" spans="1:7" ht="26.25" x14ac:dyDescent="0.25">
      <c r="A1" s="10" t="s">
        <v>22</v>
      </c>
      <c r="B1" s="11" t="s">
        <v>0</v>
      </c>
      <c r="C1" s="11" t="s">
        <v>1</v>
      </c>
      <c r="D1" s="11" t="s">
        <v>36</v>
      </c>
      <c r="E1" s="39" t="s">
        <v>37</v>
      </c>
      <c r="F1" s="11" t="s">
        <v>17</v>
      </c>
      <c r="G1" s="11" t="s">
        <v>18</v>
      </c>
    </row>
    <row r="2" spans="1:7" x14ac:dyDescent="0.25">
      <c r="A2" s="12">
        <v>46053</v>
      </c>
      <c r="B2" s="1">
        <v>116</v>
      </c>
      <c r="C2" s="1">
        <v>115</v>
      </c>
      <c r="D2" s="1">
        <v>1</v>
      </c>
      <c r="E2" s="38" t="s">
        <v>35</v>
      </c>
      <c r="F2" s="1">
        <v>61</v>
      </c>
      <c r="G2" s="14">
        <v>55</v>
      </c>
    </row>
    <row r="3" spans="1:7" x14ac:dyDescent="0.25">
      <c r="A3" s="12">
        <v>46081</v>
      </c>
      <c r="B3" s="1">
        <v>114</v>
      </c>
      <c r="C3" s="1">
        <v>115</v>
      </c>
      <c r="D3" s="1">
        <v>0</v>
      </c>
      <c r="E3" s="1"/>
      <c r="F3" s="1">
        <v>59</v>
      </c>
      <c r="G3" s="14">
        <v>55</v>
      </c>
    </row>
    <row r="4" spans="1:7" x14ac:dyDescent="0.25">
      <c r="A4" s="12">
        <v>46112</v>
      </c>
      <c r="B4" s="1">
        <v>135</v>
      </c>
      <c r="C4" s="1">
        <v>135</v>
      </c>
      <c r="D4" s="1">
        <v>0</v>
      </c>
      <c r="E4" s="1"/>
      <c r="F4" s="1">
        <v>82</v>
      </c>
      <c r="G4" s="14">
        <v>53</v>
      </c>
    </row>
    <row r="5" spans="1:7" x14ac:dyDescent="0.25">
      <c r="A5" s="12">
        <v>46142</v>
      </c>
      <c r="B5" s="1">
        <v>132</v>
      </c>
      <c r="C5" s="1">
        <v>135</v>
      </c>
      <c r="D5" s="1">
        <v>0</v>
      </c>
      <c r="E5" s="1"/>
      <c r="F5" s="1">
        <v>72</v>
      </c>
      <c r="G5" s="14">
        <v>61</v>
      </c>
    </row>
    <row r="6" spans="1:7" x14ac:dyDescent="0.25">
      <c r="A6" s="12">
        <v>46173</v>
      </c>
      <c r="B6" s="1">
        <v>133</v>
      </c>
      <c r="C6" s="1">
        <v>137</v>
      </c>
      <c r="D6" s="1">
        <v>0</v>
      </c>
      <c r="E6" s="1"/>
      <c r="F6" s="1">
        <v>62</v>
      </c>
      <c r="G6" s="14">
        <v>71</v>
      </c>
    </row>
    <row r="7" spans="1:7" x14ac:dyDescent="0.25">
      <c r="A7" s="12">
        <v>46203</v>
      </c>
      <c r="B7" s="1">
        <v>112</v>
      </c>
      <c r="C7" s="1">
        <v>115</v>
      </c>
      <c r="D7" s="1">
        <v>0</v>
      </c>
      <c r="E7" s="1"/>
      <c r="F7" s="1">
        <v>72</v>
      </c>
      <c r="G7" s="14">
        <v>40</v>
      </c>
    </row>
    <row r="8" spans="1:7" x14ac:dyDescent="0.25">
      <c r="A8" s="12">
        <v>46234</v>
      </c>
      <c r="B8" s="1">
        <v>126</v>
      </c>
      <c r="C8" s="1">
        <v>125</v>
      </c>
      <c r="D8" s="1">
        <v>2</v>
      </c>
      <c r="E8" s="38" t="s">
        <v>35</v>
      </c>
      <c r="F8" s="1">
        <v>75</v>
      </c>
      <c r="G8" s="14">
        <v>51</v>
      </c>
    </row>
    <row r="9" spans="1:7" x14ac:dyDescent="0.25">
      <c r="A9" s="12">
        <v>46265</v>
      </c>
      <c r="B9" s="1">
        <v>100</v>
      </c>
      <c r="C9" s="1">
        <v>100</v>
      </c>
      <c r="D9" s="1">
        <v>1</v>
      </c>
      <c r="E9" s="38" t="s">
        <v>35</v>
      </c>
      <c r="F9" s="1">
        <v>60</v>
      </c>
      <c r="G9" s="14">
        <v>40</v>
      </c>
    </row>
    <row r="10" spans="1:7" x14ac:dyDescent="0.25">
      <c r="A10" s="12">
        <v>46295</v>
      </c>
      <c r="B10" s="1"/>
      <c r="C10" s="1"/>
      <c r="D10" s="1"/>
      <c r="E10" s="1"/>
      <c r="F10" s="1"/>
      <c r="G10" s="14"/>
    </row>
    <row r="11" spans="1:7" x14ac:dyDescent="0.25">
      <c r="A11" s="12">
        <v>46326</v>
      </c>
      <c r="B11" s="1"/>
      <c r="C11" s="1"/>
      <c r="D11" s="1"/>
      <c r="E11" s="1"/>
      <c r="F11" s="1"/>
      <c r="G11" s="14"/>
    </row>
    <row r="12" spans="1:7" x14ac:dyDescent="0.25">
      <c r="A12" s="12">
        <v>46356</v>
      </c>
      <c r="B12" s="1"/>
      <c r="C12" s="1"/>
      <c r="D12" s="1"/>
      <c r="E12" s="1"/>
      <c r="F12" s="1"/>
      <c r="G12" s="14"/>
    </row>
    <row r="13" spans="1:7" x14ac:dyDescent="0.25">
      <c r="A13" s="12">
        <v>46387</v>
      </c>
      <c r="B13" s="1"/>
      <c r="C13" s="1"/>
      <c r="D13" s="1"/>
      <c r="E13" s="1"/>
      <c r="F13" s="1"/>
      <c r="G13" s="14"/>
    </row>
    <row r="14" spans="1:7" x14ac:dyDescent="0.25">
      <c r="A14" s="2" t="s">
        <v>19</v>
      </c>
      <c r="B14" s="2">
        <f>SUM(B2:B13)</f>
        <v>968</v>
      </c>
      <c r="C14" s="2">
        <f>SUM(C2:C13)</f>
        <v>977</v>
      </c>
      <c r="D14" s="2">
        <v>2</v>
      </c>
      <c r="E14" s="2"/>
      <c r="F14" s="2">
        <f>SUM(F2:F13)</f>
        <v>543</v>
      </c>
      <c r="G14" s="15">
        <f>SUM(G2:G13)</f>
        <v>426</v>
      </c>
    </row>
    <row r="16" spans="1:7" x14ac:dyDescent="0.25">
      <c r="B16" s="3" t="s">
        <v>43</v>
      </c>
      <c r="C16" s="3"/>
      <c r="D16" s="3"/>
      <c r="E16" s="3"/>
      <c r="F16" s="3"/>
    </row>
    <row r="17" spans="1:7" x14ac:dyDescent="0.25">
      <c r="A17" s="10" t="s">
        <v>16</v>
      </c>
      <c r="B17" s="11" t="s">
        <v>0</v>
      </c>
      <c r="C17" s="11" t="s">
        <v>1</v>
      </c>
      <c r="D17" s="11" t="s">
        <v>17</v>
      </c>
      <c r="E17" s="11" t="s">
        <v>18</v>
      </c>
    </row>
    <row r="18" spans="1:7" x14ac:dyDescent="0.25">
      <c r="A18" s="12">
        <v>43830</v>
      </c>
      <c r="B18" s="13">
        <v>109</v>
      </c>
      <c r="C18" s="13">
        <v>149</v>
      </c>
      <c r="D18" s="13">
        <v>99</v>
      </c>
      <c r="E18" s="14">
        <f t="shared" ref="E18:E23" si="0">B18-D18</f>
        <v>10</v>
      </c>
    </row>
    <row r="19" spans="1:7" x14ac:dyDescent="0.25">
      <c r="A19" s="12">
        <v>44196</v>
      </c>
      <c r="B19" s="13">
        <v>669</v>
      </c>
      <c r="C19" s="13">
        <v>664</v>
      </c>
      <c r="D19" s="13">
        <v>457</v>
      </c>
      <c r="E19" s="14">
        <f t="shared" si="0"/>
        <v>212</v>
      </c>
    </row>
    <row r="20" spans="1:7" x14ac:dyDescent="0.25">
      <c r="A20" s="12">
        <v>44561</v>
      </c>
      <c r="B20" s="13">
        <v>898</v>
      </c>
      <c r="C20" s="13">
        <v>900</v>
      </c>
      <c r="D20" s="13">
        <v>547</v>
      </c>
      <c r="E20" s="14">
        <f t="shared" si="0"/>
        <v>351</v>
      </c>
    </row>
    <row r="21" spans="1:7" x14ac:dyDescent="0.25">
      <c r="A21" s="12">
        <v>44926</v>
      </c>
      <c r="B21" s="13">
        <v>1141</v>
      </c>
      <c r="C21" s="13">
        <v>1137</v>
      </c>
      <c r="D21" s="13">
        <v>738</v>
      </c>
      <c r="E21" s="14">
        <f t="shared" si="0"/>
        <v>403</v>
      </c>
    </row>
    <row r="22" spans="1:7" x14ac:dyDescent="0.25">
      <c r="A22" s="12">
        <v>45291</v>
      </c>
      <c r="B22" s="13">
        <v>1252</v>
      </c>
      <c r="C22" s="13">
        <v>1248</v>
      </c>
      <c r="D22" s="13">
        <v>779</v>
      </c>
      <c r="E22" s="14">
        <f t="shared" si="0"/>
        <v>473</v>
      </c>
      <c r="G22" t="s">
        <v>25</v>
      </c>
    </row>
    <row r="23" spans="1:7" x14ac:dyDescent="0.25">
      <c r="A23" s="12">
        <v>45657</v>
      </c>
      <c r="B23" s="13">
        <v>1441</v>
      </c>
      <c r="C23" s="13">
        <v>1444</v>
      </c>
      <c r="D23" s="13">
        <v>854</v>
      </c>
      <c r="E23" s="14">
        <f t="shared" si="0"/>
        <v>587</v>
      </c>
    </row>
    <row r="24" spans="1:7" x14ac:dyDescent="0.25">
      <c r="A24" s="12">
        <v>46022</v>
      </c>
      <c r="B24" s="13">
        <v>1437</v>
      </c>
      <c r="C24" s="13">
        <v>1439</v>
      </c>
      <c r="D24" s="13">
        <v>824</v>
      </c>
      <c r="E24" s="14">
        <v>613</v>
      </c>
    </row>
    <row r="25" spans="1:7" x14ac:dyDescent="0.25">
      <c r="A25" s="12">
        <v>46265</v>
      </c>
      <c r="B25" s="13">
        <v>968</v>
      </c>
      <c r="C25" s="13">
        <v>977</v>
      </c>
      <c r="D25" s="13">
        <v>543</v>
      </c>
      <c r="E25" s="14">
        <v>426</v>
      </c>
    </row>
    <row r="26" spans="1:7" x14ac:dyDescent="0.25">
      <c r="A26" s="2" t="s">
        <v>19</v>
      </c>
      <c r="B26" s="15">
        <f>SUM(B18:B25)</f>
        <v>7915</v>
      </c>
      <c r="C26" s="15">
        <f>SUM(C18:C25)</f>
        <v>7958</v>
      </c>
      <c r="D26" s="15">
        <f>SUM(D18:D25)</f>
        <v>4841</v>
      </c>
      <c r="E26" s="15">
        <f>SUM(E18:E25)</f>
        <v>3075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E34" sqref="E34"/>
    </sheetView>
  </sheetViews>
  <sheetFormatPr defaultRowHeight="15" x14ac:dyDescent="0.25"/>
  <cols>
    <col min="1" max="1" width="10.140625" bestFit="1" customWidth="1"/>
    <col min="2" max="2" width="15.42578125" customWidth="1"/>
    <col min="3" max="3" width="9.85546875" bestFit="1" customWidth="1"/>
    <col min="4" max="4" width="17.5703125" bestFit="1" customWidth="1"/>
    <col min="5" max="5" width="23.140625" bestFit="1" customWidth="1"/>
  </cols>
  <sheetData>
    <row r="1" spans="1:5" x14ac:dyDescent="0.25">
      <c r="A1" s="10" t="s">
        <v>22</v>
      </c>
      <c r="B1" s="11" t="s">
        <v>31</v>
      </c>
      <c r="C1" s="11" t="s">
        <v>32</v>
      </c>
      <c r="D1" s="11" t="s">
        <v>33</v>
      </c>
      <c r="E1" s="11" t="s">
        <v>34</v>
      </c>
    </row>
    <row r="2" spans="1:5" x14ac:dyDescent="0.25">
      <c r="A2" s="12">
        <v>46053</v>
      </c>
      <c r="B2" s="1">
        <v>1</v>
      </c>
      <c r="C2" s="1">
        <v>0</v>
      </c>
      <c r="D2" s="1" t="s">
        <v>38</v>
      </c>
      <c r="E2" s="38" t="s">
        <v>35</v>
      </c>
    </row>
    <row r="3" spans="1:5" x14ac:dyDescent="0.25">
      <c r="A3" s="12">
        <v>46081</v>
      </c>
      <c r="B3" s="1">
        <v>0</v>
      </c>
      <c r="C3" s="1"/>
      <c r="D3" s="1"/>
      <c r="E3" s="1"/>
    </row>
    <row r="4" spans="1:5" x14ac:dyDescent="0.25">
      <c r="A4" s="12">
        <v>46112</v>
      </c>
      <c r="B4" s="1">
        <v>0</v>
      </c>
      <c r="C4" s="1"/>
      <c r="D4" s="1"/>
      <c r="E4" s="1"/>
    </row>
    <row r="5" spans="1:5" x14ac:dyDescent="0.25">
      <c r="A5" s="12">
        <v>46142</v>
      </c>
      <c r="B5" s="1">
        <v>0</v>
      </c>
      <c r="C5" s="1"/>
      <c r="D5" s="1"/>
      <c r="E5" s="1"/>
    </row>
    <row r="6" spans="1:5" x14ac:dyDescent="0.25">
      <c r="A6" s="12">
        <v>46173</v>
      </c>
      <c r="B6" s="1">
        <v>1</v>
      </c>
      <c r="C6" s="1"/>
      <c r="D6" s="1" t="s">
        <v>39</v>
      </c>
      <c r="E6" s="1" t="s">
        <v>40</v>
      </c>
    </row>
    <row r="7" spans="1:5" x14ac:dyDescent="0.25">
      <c r="A7" s="12">
        <v>46203</v>
      </c>
      <c r="B7" s="1">
        <v>1</v>
      </c>
      <c r="C7" s="1"/>
      <c r="D7" s="1" t="s">
        <v>41</v>
      </c>
      <c r="E7" s="1" t="s">
        <v>42</v>
      </c>
    </row>
    <row r="8" spans="1:5" x14ac:dyDescent="0.25">
      <c r="A8" s="12">
        <v>46234</v>
      </c>
      <c r="B8" s="1">
        <v>2</v>
      </c>
      <c r="C8" s="1">
        <v>0</v>
      </c>
      <c r="D8" s="1" t="s">
        <v>38</v>
      </c>
      <c r="E8" s="38" t="s">
        <v>35</v>
      </c>
    </row>
    <row r="9" spans="1:5" x14ac:dyDescent="0.25">
      <c r="A9" s="12">
        <v>46265</v>
      </c>
      <c r="B9" s="1">
        <v>1</v>
      </c>
      <c r="C9" s="1">
        <v>0</v>
      </c>
      <c r="D9" s="1" t="s">
        <v>38</v>
      </c>
      <c r="E9" s="38" t="s">
        <v>35</v>
      </c>
    </row>
    <row r="10" spans="1:5" x14ac:dyDescent="0.25">
      <c r="A10" s="12">
        <v>46295</v>
      </c>
      <c r="B10" s="1"/>
      <c r="C10" s="1"/>
      <c r="D10" s="1"/>
      <c r="E10" s="1"/>
    </row>
    <row r="11" spans="1:5" x14ac:dyDescent="0.25">
      <c r="A11" s="12">
        <v>46326</v>
      </c>
      <c r="B11" s="1"/>
      <c r="C11" s="1"/>
      <c r="D11" s="1"/>
      <c r="E11" s="1"/>
    </row>
    <row r="12" spans="1:5" x14ac:dyDescent="0.25">
      <c r="A12" s="12">
        <v>46356</v>
      </c>
      <c r="B12" s="1"/>
      <c r="C12" s="1"/>
      <c r="D12" s="1"/>
      <c r="E12" s="1"/>
    </row>
    <row r="13" spans="1:5" x14ac:dyDescent="0.25">
      <c r="A13" s="12">
        <v>46387</v>
      </c>
      <c r="B13" s="1"/>
      <c r="C13" s="1"/>
      <c r="D13" s="1"/>
      <c r="E13" s="1"/>
    </row>
    <row r="14" spans="1:5" x14ac:dyDescent="0.25">
      <c r="A14" s="2" t="s">
        <v>19</v>
      </c>
      <c r="B14" s="2">
        <f>SUM(B2:B13)</f>
        <v>6</v>
      </c>
      <c r="C14" s="2"/>
      <c r="D14" s="2"/>
      <c r="E14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OUT PATIENT PER DEPARTEMENT</vt:lpstr>
      <vt:lpstr>INPATIENT PER DEPARTEMENT</vt:lpstr>
      <vt:lpstr>BABIES TOTAL</vt:lpstr>
      <vt:lpstr>Death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Kagingo Bryan</cp:lastModifiedBy>
  <cp:lastPrinted>2025-04-08T10:22:10Z</cp:lastPrinted>
  <dcterms:created xsi:type="dcterms:W3CDTF">2024-10-30T07:22:58Z</dcterms:created>
  <dcterms:modified xsi:type="dcterms:W3CDTF">2026-09-05T12:42:20Z</dcterms:modified>
</cp:coreProperties>
</file>