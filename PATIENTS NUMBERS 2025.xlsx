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R PEACE\Desktop\DMC GLOBAL DATA\"/>
    </mc:Choice>
  </mc:AlternateContent>
  <bookViews>
    <workbookView xWindow="0" yWindow="0" windowWidth="23016" windowHeight="10308"/>
  </bookViews>
  <sheets>
    <sheet name="OPD " sheetId="1" r:id="rId1"/>
    <sheet name="IP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7" i="1" l="1"/>
  <c r="M17" i="1"/>
  <c r="L17" i="1"/>
  <c r="K17" i="1"/>
  <c r="J17" i="1"/>
  <c r="I17" i="1"/>
  <c r="H17" i="1"/>
  <c r="G17" i="1"/>
  <c r="F17" i="1"/>
  <c r="E17" i="1"/>
  <c r="D17" i="1"/>
  <c r="C17" i="1"/>
  <c r="O17" i="1" s="1"/>
  <c r="P4" i="1"/>
  <c r="N11" i="2"/>
  <c r="M11" i="2"/>
  <c r="L11" i="2"/>
  <c r="K11" i="2"/>
  <c r="J11" i="2"/>
  <c r="I11" i="2"/>
  <c r="H11" i="2"/>
  <c r="G11" i="2"/>
  <c r="F11" i="2"/>
  <c r="E11" i="2"/>
  <c r="D11" i="2"/>
  <c r="C11" i="2"/>
  <c r="O10" i="2"/>
  <c r="O9" i="2"/>
  <c r="O8" i="2"/>
  <c r="O7" i="2"/>
  <c r="O6" i="2"/>
  <c r="O5" i="2"/>
  <c r="O4" i="2"/>
  <c r="O3" i="2"/>
  <c r="O11" i="2" s="1"/>
  <c r="A24" i="2" l="1"/>
</calcChain>
</file>

<file path=xl/sharedStrings.xml><?xml version="1.0" encoding="utf-8"?>
<sst xmlns="http://schemas.openxmlformats.org/spreadsheetml/2006/main" count="33" uniqueCount="26">
  <si>
    <t>INPATIENT BY DEPARTMENTS</t>
  </si>
  <si>
    <t>Mach2025</t>
  </si>
  <si>
    <t>Ap2025</t>
  </si>
  <si>
    <t>Total</t>
  </si>
  <si>
    <t>INTERNAL MED</t>
  </si>
  <si>
    <t>PEDIATRICS</t>
  </si>
  <si>
    <t>GYNE &amp; OBS</t>
  </si>
  <si>
    <t>GN SURGERY</t>
  </si>
  <si>
    <t>ORTHOPEDIC</t>
  </si>
  <si>
    <t>UROLOGY SURGERY</t>
  </si>
  <si>
    <t>NEONATOLOGY</t>
  </si>
  <si>
    <t>ENT SERVICE</t>
  </si>
  <si>
    <t xml:space="preserve">  </t>
  </si>
  <si>
    <t>TOTAL</t>
  </si>
  <si>
    <t>OUT PATIENT</t>
  </si>
  <si>
    <t>DEPARTMENTS</t>
  </si>
  <si>
    <t xml:space="preserve">GENERAL MED </t>
  </si>
  <si>
    <t>DENTAL</t>
  </si>
  <si>
    <t>OPHTALMOLOGY</t>
  </si>
  <si>
    <t>GENERAL SURGERY</t>
  </si>
  <si>
    <t xml:space="preserve">ORTHO SURG </t>
  </si>
  <si>
    <t>PHYSIOTHERAPY</t>
  </si>
  <si>
    <t>UROLOGY</t>
  </si>
  <si>
    <t>EMERGENCY</t>
  </si>
  <si>
    <t xml:space="preserve"> </t>
  </si>
  <si>
    <t>VACCINATION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</si>
</sst>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Calibri"/>
      <family val="2"/>
      <scheme val="minor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17" fontId="3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17" fontId="3" fillId="2" borderId="3" xfId="0" applyNumberFormat="1" applyFont="1" applyFill="1" applyBorder="1" applyAlignment="1">
      <alignment wrapText="1"/>
    </xf>
    <xf numFmtId="17" fontId="2" fillId="0" borderId="3" xfId="0" applyNumberFormat="1" applyFont="1" applyBorder="1"/>
    <xf numFmtId="0" fontId="2" fillId="0" borderId="3" xfId="0" applyFont="1" applyBorder="1"/>
    <xf numFmtId="0" fontId="4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right"/>
    </xf>
    <xf numFmtId="0" fontId="0" fillId="0" borderId="3" xfId="0" applyBorder="1"/>
    <xf numFmtId="0" fontId="5" fillId="2" borderId="3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7" fillId="2" borderId="2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  <xf numFmtId="0" fontId="4" fillId="0" borderId="5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8" fillId="2" borderId="3" xfId="0" applyFont="1" applyFill="1" applyBorder="1"/>
    <xf numFmtId="164" fontId="2" fillId="0" borderId="3" xfId="1" applyNumberFormat="1" applyFont="1" applyBorder="1"/>
    <xf numFmtId="0" fontId="3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17" fontId="8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7" fontId="8" fillId="2" borderId="3" xfId="0" applyNumberFormat="1" applyFont="1" applyFill="1" applyBorder="1" applyAlignment="1">
      <alignment wrapText="1"/>
    </xf>
    <xf numFmtId="17" fontId="8" fillId="2" borderId="3" xfId="0" applyNumberFormat="1" applyFont="1" applyFill="1" applyBorder="1"/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8" xfId="0" applyFont="1" applyFill="1" applyBorder="1"/>
    <xf numFmtId="0" fontId="9" fillId="0" borderId="3" xfId="0" applyFont="1" applyFill="1" applyBorder="1"/>
    <xf numFmtId="0" fontId="9" fillId="0" borderId="0" xfId="0" applyFont="1" applyFill="1"/>
    <xf numFmtId="0" fontId="4" fillId="2" borderId="1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0" fillId="0" borderId="0" xfId="0" applyFill="1"/>
    <xf numFmtId="0" fontId="10" fillId="0" borderId="0" xfId="0" applyFont="1" applyFill="1"/>
    <xf numFmtId="0" fontId="4" fillId="2" borderId="1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164" fontId="8" fillId="2" borderId="2" xfId="1" applyNumberFormat="1" applyFont="1" applyFill="1" applyBorder="1" applyAlignment="1">
      <alignment horizontal="left"/>
    </xf>
    <xf numFmtId="164" fontId="0" fillId="2" borderId="3" xfId="1" applyNumberFormat="1" applyFont="1" applyFill="1" applyBorder="1"/>
    <xf numFmtId="164" fontId="8" fillId="2" borderId="3" xfId="1" applyNumberFormat="1" applyFont="1" applyFill="1" applyBorder="1"/>
    <xf numFmtId="164" fontId="10" fillId="0" borderId="3" xfId="1" applyNumberFormat="1" applyFont="1" applyFill="1" applyBorder="1"/>
    <xf numFmtId="164" fontId="0" fillId="0" borderId="0" xfId="1" applyNumberFormat="1" applyFont="1"/>
    <xf numFmtId="164" fontId="2" fillId="0" borderId="0" xfId="1" applyNumberFormat="1" applyFont="1" applyAlignment="1">
      <alignment horizontal="right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CASES</a:t>
            </a:r>
            <a:r>
              <a:rPr lang="en-US" b="1" baseline="0"/>
              <a:t> RECEIVEDIN </a:t>
            </a:r>
            <a:r>
              <a:rPr lang="en-US" b="1"/>
              <a:t> OPD</a:t>
            </a:r>
            <a:r>
              <a:rPr lang="en-US" b="1" baseline="0"/>
              <a:t> BY DEPARTMENT IN 2025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'[1]OPD BY DEPARTMENT'!$A$4:$A$16</c:f>
              <c:strCache>
                <c:ptCount val="13"/>
                <c:pt idx="0">
                  <c:v>INTERNAL MED</c:v>
                </c:pt>
                <c:pt idx="1">
                  <c:v>PEDIATRICS</c:v>
                </c:pt>
                <c:pt idx="2">
                  <c:v>GENERAL MED </c:v>
                </c:pt>
                <c:pt idx="3">
                  <c:v>GYNE &amp; OBS</c:v>
                </c:pt>
                <c:pt idx="4">
                  <c:v>DENTAL</c:v>
                </c:pt>
                <c:pt idx="5">
                  <c:v>OPHTALMOLOGY</c:v>
                </c:pt>
                <c:pt idx="6">
                  <c:v>GENERAL SURGERY</c:v>
                </c:pt>
                <c:pt idx="7">
                  <c:v>ORTHO SURG </c:v>
                </c:pt>
                <c:pt idx="8">
                  <c:v>PHYSIOTHERAPY</c:v>
                </c:pt>
                <c:pt idx="9">
                  <c:v>UROLOGY</c:v>
                </c:pt>
                <c:pt idx="10">
                  <c:v>ENT SERVICE</c:v>
                </c:pt>
                <c:pt idx="11">
                  <c:v>EMERGENCY</c:v>
                </c:pt>
                <c:pt idx="12">
                  <c:v>VACCINATION</c:v>
                </c:pt>
              </c:strCache>
            </c:strRef>
          </c:cat>
          <c:val>
            <c:numRef>
              <c:f>'[1]OPD BY DEPARTMENT'!$B$4:$B$16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11-4EF6-AF6A-F750C0EDC7A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'[1]OPD BY DEPARTMENT'!$A$4:$A$16</c:f>
              <c:strCache>
                <c:ptCount val="13"/>
                <c:pt idx="0">
                  <c:v>INTERNAL MED</c:v>
                </c:pt>
                <c:pt idx="1">
                  <c:v>PEDIATRICS</c:v>
                </c:pt>
                <c:pt idx="2">
                  <c:v>GENERAL MED </c:v>
                </c:pt>
                <c:pt idx="3">
                  <c:v>GYNE &amp; OBS</c:v>
                </c:pt>
                <c:pt idx="4">
                  <c:v>DENTAL</c:v>
                </c:pt>
                <c:pt idx="5">
                  <c:v>OPHTALMOLOGY</c:v>
                </c:pt>
                <c:pt idx="6">
                  <c:v>GENERAL SURGERY</c:v>
                </c:pt>
                <c:pt idx="7">
                  <c:v>ORTHO SURG </c:v>
                </c:pt>
                <c:pt idx="8">
                  <c:v>PHYSIOTHERAPY</c:v>
                </c:pt>
                <c:pt idx="9">
                  <c:v>UROLOGY</c:v>
                </c:pt>
                <c:pt idx="10">
                  <c:v>ENT SERVICE</c:v>
                </c:pt>
                <c:pt idx="11">
                  <c:v>EMERGENCY</c:v>
                </c:pt>
                <c:pt idx="12">
                  <c:v>VACCINATION</c:v>
                </c:pt>
              </c:strCache>
            </c:strRef>
          </c:cat>
          <c:val>
            <c:numRef>
              <c:f>'[1]OPD BY DEPARTMENT'!$O$3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11-4EF6-AF6A-F750C0EDC7A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'[1]OPD BY DEPARTMENT'!$A$4:$A$16</c:f>
              <c:strCache>
                <c:ptCount val="13"/>
                <c:pt idx="0">
                  <c:v>INTERNAL MED</c:v>
                </c:pt>
                <c:pt idx="1">
                  <c:v>PEDIATRICS</c:v>
                </c:pt>
                <c:pt idx="2">
                  <c:v>GENERAL MED </c:v>
                </c:pt>
                <c:pt idx="3">
                  <c:v>GYNE &amp; OBS</c:v>
                </c:pt>
                <c:pt idx="4">
                  <c:v>DENTAL</c:v>
                </c:pt>
                <c:pt idx="5">
                  <c:v>OPHTALMOLOGY</c:v>
                </c:pt>
                <c:pt idx="6">
                  <c:v>GENERAL SURGERY</c:v>
                </c:pt>
                <c:pt idx="7">
                  <c:v>ORTHO SURG </c:v>
                </c:pt>
                <c:pt idx="8">
                  <c:v>PHYSIOTHERAPY</c:v>
                </c:pt>
                <c:pt idx="9">
                  <c:v>UROLOGY</c:v>
                </c:pt>
                <c:pt idx="10">
                  <c:v>ENT SERVICE</c:v>
                </c:pt>
                <c:pt idx="11">
                  <c:v>EMERGENCY</c:v>
                </c:pt>
                <c:pt idx="12">
                  <c:v>VACCINATION</c:v>
                </c:pt>
              </c:strCache>
            </c:strRef>
          </c:cat>
          <c:val>
            <c:numRef>
              <c:f>'[1]OPD BY DEPARTMENT'!$O$3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11-4EF6-AF6A-F750C0EDC7A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'[1]OPD BY DEPARTMENT'!$A$4:$A$16</c:f>
              <c:strCache>
                <c:ptCount val="13"/>
                <c:pt idx="0">
                  <c:v>INTERNAL MED</c:v>
                </c:pt>
                <c:pt idx="1">
                  <c:v>PEDIATRICS</c:v>
                </c:pt>
                <c:pt idx="2">
                  <c:v>GENERAL MED </c:v>
                </c:pt>
                <c:pt idx="3">
                  <c:v>GYNE &amp; OBS</c:v>
                </c:pt>
                <c:pt idx="4">
                  <c:v>DENTAL</c:v>
                </c:pt>
                <c:pt idx="5">
                  <c:v>OPHTALMOLOGY</c:v>
                </c:pt>
                <c:pt idx="6">
                  <c:v>GENERAL SURGERY</c:v>
                </c:pt>
                <c:pt idx="7">
                  <c:v>ORTHO SURG </c:v>
                </c:pt>
                <c:pt idx="8">
                  <c:v>PHYSIOTHERAPY</c:v>
                </c:pt>
                <c:pt idx="9">
                  <c:v>UROLOGY</c:v>
                </c:pt>
                <c:pt idx="10">
                  <c:v>ENT SERVICE</c:v>
                </c:pt>
                <c:pt idx="11">
                  <c:v>EMERGENCY</c:v>
                </c:pt>
                <c:pt idx="12">
                  <c:v>VACCINATION</c:v>
                </c:pt>
              </c:strCache>
            </c:strRef>
          </c:cat>
          <c:val>
            <c:numRef>
              <c:f>'[1]OPD BY DEPARTMENT'!$O$4:$O$17</c:f>
              <c:numCache>
                <c:formatCode>General</c:formatCode>
                <c:ptCount val="14"/>
                <c:pt idx="0">
                  <c:v>13515</c:v>
                </c:pt>
                <c:pt idx="1">
                  <c:v>19455</c:v>
                </c:pt>
                <c:pt idx="2">
                  <c:v>17512</c:v>
                </c:pt>
                <c:pt idx="3">
                  <c:v>13650</c:v>
                </c:pt>
                <c:pt idx="4">
                  <c:v>4529</c:v>
                </c:pt>
                <c:pt idx="5">
                  <c:v>1372</c:v>
                </c:pt>
                <c:pt idx="6">
                  <c:v>129</c:v>
                </c:pt>
                <c:pt idx="7">
                  <c:v>5302</c:v>
                </c:pt>
                <c:pt idx="8">
                  <c:v>18064</c:v>
                </c:pt>
                <c:pt idx="9">
                  <c:v>931</c:v>
                </c:pt>
                <c:pt idx="10">
                  <c:v>1690</c:v>
                </c:pt>
                <c:pt idx="11">
                  <c:v>26</c:v>
                </c:pt>
                <c:pt idx="12">
                  <c:v>5401</c:v>
                </c:pt>
                <c:pt idx="13">
                  <c:v>101576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11-4EF6-AF6A-F750C0EDC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053824"/>
        <c:axId val="366049232"/>
      </c:lineChart>
      <c:catAx>
        <c:axId val="36605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049232"/>
        <c:crosses val="autoZero"/>
        <c:auto val="1"/>
        <c:lblAlgn val="ctr"/>
        <c:lblOffset val="100"/>
        <c:noMultiLvlLbl val="0"/>
      </c:catAx>
      <c:valAx>
        <c:axId val="3660492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6605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CASES RECEIVED INPATIENT BY DEPARTEMENT 2025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'[1]GLOBAL ADMISSION'!$A$3:$A$10</c:f>
              <c:strCache>
                <c:ptCount val="8"/>
                <c:pt idx="0">
                  <c:v>INTERNAL MED</c:v>
                </c:pt>
                <c:pt idx="1">
                  <c:v>PEDIATRICS</c:v>
                </c:pt>
                <c:pt idx="2">
                  <c:v>GYNE &amp; OBS</c:v>
                </c:pt>
                <c:pt idx="3">
                  <c:v>GN SURGERY</c:v>
                </c:pt>
                <c:pt idx="4">
                  <c:v>ORTHOPEDIC</c:v>
                </c:pt>
                <c:pt idx="5">
                  <c:v>UROLOGY SURGERY</c:v>
                </c:pt>
                <c:pt idx="6">
                  <c:v>NEONATOLOGY</c:v>
                </c:pt>
                <c:pt idx="7">
                  <c:v>ENT SERVICE</c:v>
                </c:pt>
              </c:strCache>
            </c:strRef>
          </c:cat>
          <c:val>
            <c:numRef>
              <c:f>'[1]GLOBAL ADMISSION'!$B$3:$B$10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E5-40DA-943D-E9EECFAD952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'[1]GLOBAL ADMISSION'!$A$3:$A$10</c:f>
              <c:strCache>
                <c:ptCount val="8"/>
                <c:pt idx="0">
                  <c:v>INTERNAL MED</c:v>
                </c:pt>
                <c:pt idx="1">
                  <c:v>PEDIATRICS</c:v>
                </c:pt>
                <c:pt idx="2">
                  <c:v>GYNE &amp; OBS</c:v>
                </c:pt>
                <c:pt idx="3">
                  <c:v>GN SURGERY</c:v>
                </c:pt>
                <c:pt idx="4">
                  <c:v>ORTHOPEDIC</c:v>
                </c:pt>
                <c:pt idx="5">
                  <c:v>UROLOGY SURGERY</c:v>
                </c:pt>
                <c:pt idx="6">
                  <c:v>NEONATOLOGY</c:v>
                </c:pt>
                <c:pt idx="7">
                  <c:v>ENT SERVICE</c:v>
                </c:pt>
              </c:strCache>
            </c:strRef>
          </c:cat>
          <c:val>
            <c:numRef>
              <c:f>'[1]GLOBAL ADMISSION'!$O$3</c:f>
              <c:numCache>
                <c:formatCode>General</c:formatCode>
                <c:ptCount val="1"/>
                <c:pt idx="0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E5-40DA-943D-E9EECFAD952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'[1]GLOBAL ADMISSION'!$A$3:$A$10</c:f>
              <c:strCache>
                <c:ptCount val="8"/>
                <c:pt idx="0">
                  <c:v>INTERNAL MED</c:v>
                </c:pt>
                <c:pt idx="1">
                  <c:v>PEDIATRICS</c:v>
                </c:pt>
                <c:pt idx="2">
                  <c:v>GYNE &amp; OBS</c:v>
                </c:pt>
                <c:pt idx="3">
                  <c:v>GN SURGERY</c:v>
                </c:pt>
                <c:pt idx="4">
                  <c:v>ORTHOPEDIC</c:v>
                </c:pt>
                <c:pt idx="5">
                  <c:v>UROLOGY SURGERY</c:v>
                </c:pt>
                <c:pt idx="6">
                  <c:v>NEONATOLOGY</c:v>
                </c:pt>
                <c:pt idx="7">
                  <c:v>ENT SERVICE</c:v>
                </c:pt>
              </c:strCache>
            </c:strRef>
          </c:cat>
          <c:val>
            <c:numRef>
              <c:f>'[1]GLOBAL ADMISSION'!$O$3:$O$11</c:f>
              <c:numCache>
                <c:formatCode>General</c:formatCode>
                <c:ptCount val="9"/>
                <c:pt idx="0">
                  <c:v>281</c:v>
                </c:pt>
                <c:pt idx="1">
                  <c:v>908</c:v>
                </c:pt>
                <c:pt idx="2">
                  <c:v>2002</c:v>
                </c:pt>
                <c:pt idx="3">
                  <c:v>19</c:v>
                </c:pt>
                <c:pt idx="4">
                  <c:v>701</c:v>
                </c:pt>
                <c:pt idx="5">
                  <c:v>46</c:v>
                </c:pt>
                <c:pt idx="6">
                  <c:v>35</c:v>
                </c:pt>
                <c:pt idx="7">
                  <c:v>310</c:v>
                </c:pt>
                <c:pt idx="8">
                  <c:v>4302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E5-40DA-943D-E9EECFAD9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818976"/>
        <c:axId val="440087912"/>
      </c:lineChart>
      <c:catAx>
        <c:axId val="36581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87912"/>
        <c:crosses val="autoZero"/>
        <c:auto val="1"/>
        <c:lblAlgn val="ctr"/>
        <c:lblOffset val="100"/>
        <c:noMultiLvlLbl val="0"/>
      </c:catAx>
      <c:valAx>
        <c:axId val="4400879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6581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17</xdr:row>
      <xdr:rowOff>5715</xdr:rowOff>
    </xdr:from>
    <xdr:to>
      <xdr:col>15</xdr:col>
      <xdr:colOff>7620</xdr:colOff>
      <xdr:row>31</xdr:row>
      <xdr:rowOff>81915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11</xdr:row>
      <xdr:rowOff>142874</xdr:rowOff>
    </xdr:from>
    <xdr:to>
      <xdr:col>14</xdr:col>
      <xdr:colOff>609599</xdr:colOff>
      <xdr:row>29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New%20folder/DMC%20Hospital%20Data%20Analysis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O"/>
      <sheetName val="GYNECO"/>
      <sheetName val="OPHTALMOLOGY"/>
      <sheetName val="SURGERY"/>
      <sheetName val="PHYISO"/>
      <sheetName val="LABO"/>
      <sheetName val="DENTAL"/>
      <sheetName val="Morbidity"/>
      <sheetName val="Admission by departement"/>
      <sheetName val="XR"/>
      <sheetName val="ANESTHESIA"/>
      <sheetName val="ANC"/>
      <sheetName val="HIV "/>
      <sheetName val="VACCINATION"/>
      <sheetName val="OPD BY DEPARTMENT"/>
      <sheetName val="GLOBAL ADMISSION"/>
      <sheetName val="BABIES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O3" t="str">
            <v>Total</v>
          </cell>
        </row>
        <row r="4">
          <cell r="A4" t="str">
            <v>INTERNAL MED</v>
          </cell>
          <cell r="O4">
            <v>13515</v>
          </cell>
        </row>
        <row r="5">
          <cell r="A5" t="str">
            <v>PEDIATRICS</v>
          </cell>
          <cell r="O5">
            <v>19455</v>
          </cell>
        </row>
        <row r="6">
          <cell r="A6" t="str">
            <v xml:space="preserve">GENERAL MED </v>
          </cell>
          <cell r="O6">
            <v>17512</v>
          </cell>
        </row>
        <row r="7">
          <cell r="A7" t="str">
            <v>GYNE &amp; OBS</v>
          </cell>
          <cell r="O7">
            <v>13650</v>
          </cell>
        </row>
        <row r="8">
          <cell r="A8" t="str">
            <v>DENTAL</v>
          </cell>
          <cell r="O8">
            <v>4529</v>
          </cell>
        </row>
        <row r="9">
          <cell r="A9" t="str">
            <v>OPHTALMOLOGY</v>
          </cell>
          <cell r="O9">
            <v>1372</v>
          </cell>
        </row>
        <row r="10">
          <cell r="A10" t="str">
            <v>GENERAL SURGERY</v>
          </cell>
          <cell r="O10">
            <v>129</v>
          </cell>
        </row>
        <row r="11">
          <cell r="A11" t="str">
            <v xml:space="preserve">ORTHO SURG </v>
          </cell>
          <cell r="O11">
            <v>5302</v>
          </cell>
        </row>
        <row r="12">
          <cell r="A12" t="str">
            <v>PHYSIOTHERAPY</v>
          </cell>
          <cell r="O12">
            <v>18064</v>
          </cell>
        </row>
        <row r="13">
          <cell r="A13" t="str">
            <v>UROLOGY</v>
          </cell>
          <cell r="O13">
            <v>931</v>
          </cell>
        </row>
        <row r="14">
          <cell r="A14" t="str">
            <v>ENT SERVICE</v>
          </cell>
          <cell r="O14">
            <v>1690</v>
          </cell>
        </row>
        <row r="15">
          <cell r="A15" t="str">
            <v>EMERGENCY</v>
          </cell>
          <cell r="O15">
            <v>26</v>
          </cell>
        </row>
        <row r="16">
          <cell r="A16" t="str">
            <v>VACCINATION</v>
          </cell>
          <cell r="O16">
            <v>5401</v>
          </cell>
        </row>
        <row r="17">
          <cell r="O17">
            <v>101576</v>
          </cell>
        </row>
      </sheetData>
      <sheetData sheetId="15">
        <row r="3">
          <cell r="A3" t="str">
            <v>INTERNAL MED</v>
          </cell>
          <cell r="O3">
            <v>281</v>
          </cell>
        </row>
        <row r="4">
          <cell r="A4" t="str">
            <v>PEDIATRICS</v>
          </cell>
          <cell r="O4">
            <v>908</v>
          </cell>
        </row>
        <row r="5">
          <cell r="A5" t="str">
            <v>GYNE &amp; OBS</v>
          </cell>
          <cell r="O5">
            <v>2002</v>
          </cell>
        </row>
        <row r="6">
          <cell r="A6" t="str">
            <v>GN SURGERY</v>
          </cell>
          <cell r="O6">
            <v>19</v>
          </cell>
        </row>
        <row r="7">
          <cell r="A7" t="str">
            <v>ORTHOPEDIC</v>
          </cell>
          <cell r="O7">
            <v>701</v>
          </cell>
        </row>
        <row r="8">
          <cell r="A8" t="str">
            <v>UROLOGY SURGERY</v>
          </cell>
          <cell r="O8">
            <v>46</v>
          </cell>
        </row>
        <row r="9">
          <cell r="A9" t="str">
            <v>NEONATOLOGY</v>
          </cell>
          <cell r="O9">
            <v>35</v>
          </cell>
        </row>
        <row r="10">
          <cell r="A10" t="str">
            <v>ENT SERVICE</v>
          </cell>
          <cell r="O10">
            <v>310</v>
          </cell>
        </row>
        <row r="11">
          <cell r="O11">
            <v>4302</v>
          </cell>
        </row>
      </sheetData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0"/>
  <sheetViews>
    <sheetView tabSelected="1" workbookViewId="0">
      <selection activeCell="Q20" sqref="Q20"/>
    </sheetView>
  </sheetViews>
  <sheetFormatPr defaultColWidth="9.109375" defaultRowHeight="14.4" x14ac:dyDescent="0.3"/>
  <cols>
    <col min="1" max="1" width="9.109375" customWidth="1"/>
    <col min="2" max="2" width="17.44140625" customWidth="1"/>
    <col min="3" max="3" width="7.44140625" customWidth="1"/>
    <col min="4" max="5" width="10.109375" bestFit="1" customWidth="1"/>
    <col min="6" max="6" width="10.21875" customWidth="1"/>
    <col min="7" max="7" width="10.109375" bestFit="1" customWidth="1"/>
    <col min="8" max="8" width="7.33203125" customWidth="1"/>
    <col min="9" max="9" width="8.33203125" customWidth="1"/>
    <col min="10" max="11" width="10.109375" bestFit="1" customWidth="1"/>
    <col min="12" max="14" width="8.6640625" customWidth="1"/>
    <col min="15" max="15" width="11.44140625" bestFit="1" customWidth="1"/>
  </cols>
  <sheetData>
    <row r="2" spans="1:16" ht="15.6" x14ac:dyDescent="0.3">
      <c r="A2" s="28" t="s">
        <v>14</v>
      </c>
      <c r="B2" s="28"/>
      <c r="C2" s="28"/>
      <c r="D2" s="28"/>
      <c r="E2" s="28"/>
      <c r="F2" s="28"/>
      <c r="G2" s="28"/>
      <c r="H2" s="28"/>
      <c r="I2" s="28"/>
    </row>
    <row r="3" spans="1:16" ht="15.6" x14ac:dyDescent="0.3">
      <c r="A3" s="29" t="s">
        <v>15</v>
      </c>
      <c r="B3" s="29"/>
      <c r="C3" s="30">
        <v>45658</v>
      </c>
      <c r="D3" s="30">
        <v>45689</v>
      </c>
      <c r="E3" s="30">
        <v>45717</v>
      </c>
      <c r="F3" s="31" t="s">
        <v>2</v>
      </c>
      <c r="G3" s="30">
        <v>45778</v>
      </c>
      <c r="H3" s="30">
        <v>45809</v>
      </c>
      <c r="I3" s="32">
        <v>45839</v>
      </c>
      <c r="J3" s="33">
        <v>45870</v>
      </c>
      <c r="K3" s="33">
        <v>45901</v>
      </c>
      <c r="L3" s="33">
        <v>45931</v>
      </c>
      <c r="M3" s="33">
        <v>45962</v>
      </c>
      <c r="N3" s="33">
        <v>45992</v>
      </c>
      <c r="O3" s="7" t="s">
        <v>3</v>
      </c>
    </row>
    <row r="4" spans="1:16" s="39" customFormat="1" ht="15.6" x14ac:dyDescent="0.3">
      <c r="A4" s="34" t="s">
        <v>4</v>
      </c>
      <c r="B4" s="35"/>
      <c r="C4" s="36">
        <v>1202</v>
      </c>
      <c r="D4" s="36">
        <v>1012</v>
      </c>
      <c r="E4" s="36">
        <v>1060</v>
      </c>
      <c r="F4" s="36">
        <v>1075</v>
      </c>
      <c r="G4" s="36">
        <v>1185</v>
      </c>
      <c r="H4" s="36">
        <v>1208</v>
      </c>
      <c r="I4" s="37">
        <v>1116</v>
      </c>
      <c r="J4" s="37">
        <v>1085</v>
      </c>
      <c r="K4" s="37">
        <v>961</v>
      </c>
      <c r="L4" s="37">
        <v>1170</v>
      </c>
      <c r="M4" s="37">
        <v>1216</v>
      </c>
      <c r="N4" s="37">
        <v>1225</v>
      </c>
      <c r="O4" s="38">
        <v>13515</v>
      </c>
      <c r="P4" s="39">
        <f>SUM(C4:N4)</f>
        <v>13515</v>
      </c>
    </row>
    <row r="5" spans="1:16" s="43" customFormat="1" ht="15.6" x14ac:dyDescent="0.3">
      <c r="A5" s="40" t="s">
        <v>5</v>
      </c>
      <c r="B5" s="41"/>
      <c r="C5" s="42">
        <v>1580</v>
      </c>
      <c r="D5" s="42">
        <v>1844</v>
      </c>
      <c r="E5" s="42">
        <v>1720</v>
      </c>
      <c r="F5" s="42">
        <v>1402</v>
      </c>
      <c r="G5" s="42">
        <v>1595</v>
      </c>
      <c r="H5" s="42">
        <v>1942</v>
      </c>
      <c r="I5" s="37">
        <v>1271</v>
      </c>
      <c r="J5" s="37">
        <v>1099</v>
      </c>
      <c r="K5" s="37">
        <v>1169</v>
      </c>
      <c r="L5" s="37">
        <v>1754</v>
      </c>
      <c r="M5" s="37">
        <v>2241</v>
      </c>
      <c r="N5" s="37">
        <v>1838</v>
      </c>
      <c r="O5" s="38">
        <v>19455</v>
      </c>
    </row>
    <row r="6" spans="1:16" s="39" customFormat="1" ht="15.6" x14ac:dyDescent="0.3">
      <c r="A6" s="40" t="s">
        <v>16</v>
      </c>
      <c r="B6" s="41"/>
      <c r="C6" s="42">
        <v>1436</v>
      </c>
      <c r="D6" s="42">
        <v>1231</v>
      </c>
      <c r="E6" s="42">
        <v>1459</v>
      </c>
      <c r="F6" s="42">
        <v>1376</v>
      </c>
      <c r="G6" s="42">
        <v>1494</v>
      </c>
      <c r="H6" s="42">
        <v>1632</v>
      </c>
      <c r="I6" s="37">
        <v>1294</v>
      </c>
      <c r="J6" s="37">
        <v>1328</v>
      </c>
      <c r="K6" s="37">
        <v>1129</v>
      </c>
      <c r="L6" s="37">
        <v>1423</v>
      </c>
      <c r="M6" s="37">
        <v>1866</v>
      </c>
      <c r="N6" s="37">
        <v>1844</v>
      </c>
      <c r="O6" s="38">
        <v>17512</v>
      </c>
    </row>
    <row r="7" spans="1:16" s="44" customFormat="1" ht="15.6" x14ac:dyDescent="0.3">
      <c r="A7" s="40" t="s">
        <v>6</v>
      </c>
      <c r="B7" s="41"/>
      <c r="C7" s="42">
        <v>1229</v>
      </c>
      <c r="D7" s="42">
        <v>1092</v>
      </c>
      <c r="E7" s="42">
        <v>1162</v>
      </c>
      <c r="F7" s="42">
        <v>1123</v>
      </c>
      <c r="G7" s="42">
        <v>1238</v>
      </c>
      <c r="H7" s="42">
        <v>1103</v>
      </c>
      <c r="I7" s="37">
        <v>1117</v>
      </c>
      <c r="J7" s="37">
        <v>1100</v>
      </c>
      <c r="K7" s="37">
        <v>1050</v>
      </c>
      <c r="L7" s="37">
        <v>1221</v>
      </c>
      <c r="M7" s="37">
        <v>1128</v>
      </c>
      <c r="N7" s="37">
        <v>1087</v>
      </c>
      <c r="O7" s="38">
        <v>13650</v>
      </c>
    </row>
    <row r="8" spans="1:16" s="39" customFormat="1" ht="15.6" x14ac:dyDescent="0.3">
      <c r="A8" s="40" t="s">
        <v>17</v>
      </c>
      <c r="B8" s="41"/>
      <c r="C8" s="42">
        <v>440</v>
      </c>
      <c r="D8" s="42">
        <v>413</v>
      </c>
      <c r="E8" s="42">
        <v>473</v>
      </c>
      <c r="F8" s="42">
        <v>446</v>
      </c>
      <c r="G8" s="42">
        <v>401</v>
      </c>
      <c r="H8" s="42">
        <v>339</v>
      </c>
      <c r="I8" s="37">
        <v>342</v>
      </c>
      <c r="J8" s="37">
        <v>358</v>
      </c>
      <c r="K8" s="37">
        <v>325</v>
      </c>
      <c r="L8" s="37">
        <v>355</v>
      </c>
      <c r="M8" s="37">
        <v>310</v>
      </c>
      <c r="N8" s="37">
        <v>327</v>
      </c>
      <c r="O8" s="38">
        <v>4529</v>
      </c>
    </row>
    <row r="9" spans="1:16" s="39" customFormat="1" ht="15.6" x14ac:dyDescent="0.3">
      <c r="A9" s="40" t="s">
        <v>18</v>
      </c>
      <c r="B9" s="41"/>
      <c r="C9" s="42">
        <v>137</v>
      </c>
      <c r="D9" s="42">
        <v>100</v>
      </c>
      <c r="E9" s="42">
        <v>122</v>
      </c>
      <c r="F9" s="42">
        <v>125</v>
      </c>
      <c r="G9" s="42">
        <v>123</v>
      </c>
      <c r="H9" s="42">
        <v>88</v>
      </c>
      <c r="I9" s="37">
        <v>88</v>
      </c>
      <c r="J9" s="37">
        <v>112</v>
      </c>
      <c r="K9" s="37">
        <v>115</v>
      </c>
      <c r="L9" s="37">
        <v>128</v>
      </c>
      <c r="M9" s="37">
        <v>122</v>
      </c>
      <c r="N9" s="37">
        <v>112</v>
      </c>
      <c r="O9" s="38">
        <v>1372</v>
      </c>
    </row>
    <row r="10" spans="1:16" s="39" customFormat="1" ht="15.6" x14ac:dyDescent="0.3">
      <c r="A10" s="45" t="s">
        <v>19</v>
      </c>
      <c r="B10" s="46"/>
      <c r="C10" s="42">
        <v>4</v>
      </c>
      <c r="D10" s="42">
        <v>4</v>
      </c>
      <c r="E10" s="42">
        <v>2</v>
      </c>
      <c r="F10" s="42">
        <v>1</v>
      </c>
      <c r="G10" s="42">
        <v>1</v>
      </c>
      <c r="H10" s="42">
        <v>2</v>
      </c>
      <c r="I10" s="37">
        <v>0</v>
      </c>
      <c r="J10" s="37">
        <v>0</v>
      </c>
      <c r="K10" s="37">
        <v>0</v>
      </c>
      <c r="L10" s="37">
        <v>2</v>
      </c>
      <c r="M10" s="37">
        <v>59</v>
      </c>
      <c r="N10" s="37">
        <v>54</v>
      </c>
      <c r="O10" s="38">
        <v>129</v>
      </c>
    </row>
    <row r="11" spans="1:16" s="39" customFormat="1" ht="15.6" x14ac:dyDescent="0.3">
      <c r="A11" s="47" t="s">
        <v>20</v>
      </c>
      <c r="B11" s="47"/>
      <c r="C11" s="48">
        <v>436</v>
      </c>
      <c r="D11" s="48">
        <v>380</v>
      </c>
      <c r="E11" s="48">
        <v>356</v>
      </c>
      <c r="F11" s="48">
        <v>448</v>
      </c>
      <c r="G11" s="48">
        <v>473</v>
      </c>
      <c r="H11" s="48">
        <v>402</v>
      </c>
      <c r="I11" s="37">
        <v>609</v>
      </c>
      <c r="J11" s="37">
        <v>441</v>
      </c>
      <c r="K11" s="37">
        <v>375</v>
      </c>
      <c r="L11" s="37">
        <v>482</v>
      </c>
      <c r="M11" s="37">
        <v>473</v>
      </c>
      <c r="N11" s="37">
        <v>427</v>
      </c>
      <c r="O11" s="38">
        <v>5302</v>
      </c>
    </row>
    <row r="12" spans="1:16" s="43" customFormat="1" ht="15.6" x14ac:dyDescent="0.3">
      <c r="A12" s="47" t="s">
        <v>21</v>
      </c>
      <c r="B12" s="47"/>
      <c r="C12" s="48">
        <v>1355</v>
      </c>
      <c r="D12" s="48">
        <v>1406</v>
      </c>
      <c r="E12" s="48">
        <v>1572</v>
      </c>
      <c r="F12" s="48">
        <v>1699</v>
      </c>
      <c r="G12" s="48">
        <v>1818</v>
      </c>
      <c r="H12" s="48">
        <v>1721</v>
      </c>
      <c r="I12" s="37">
        <v>1767</v>
      </c>
      <c r="J12" s="37">
        <v>1458</v>
      </c>
      <c r="K12" s="37">
        <v>1259</v>
      </c>
      <c r="L12" s="37">
        <v>1406</v>
      </c>
      <c r="M12" s="37">
        <v>1405</v>
      </c>
      <c r="N12" s="37">
        <v>1198</v>
      </c>
      <c r="O12" s="38">
        <v>18064</v>
      </c>
    </row>
    <row r="13" spans="1:16" s="39" customFormat="1" ht="15.6" x14ac:dyDescent="0.3">
      <c r="A13" s="40" t="s">
        <v>22</v>
      </c>
      <c r="B13" s="41"/>
      <c r="C13" s="42">
        <v>69</v>
      </c>
      <c r="D13" s="42">
        <v>91</v>
      </c>
      <c r="E13" s="42">
        <v>78</v>
      </c>
      <c r="F13" s="42">
        <v>88</v>
      </c>
      <c r="G13" s="42">
        <v>108</v>
      </c>
      <c r="H13" s="42">
        <v>83</v>
      </c>
      <c r="I13" s="37">
        <v>94</v>
      </c>
      <c r="J13" s="37">
        <v>98</v>
      </c>
      <c r="K13" s="37">
        <v>58</v>
      </c>
      <c r="L13" s="37">
        <v>65</v>
      </c>
      <c r="M13" s="37">
        <v>59</v>
      </c>
      <c r="N13" s="37">
        <v>40</v>
      </c>
      <c r="O13" s="38">
        <v>931</v>
      </c>
    </row>
    <row r="14" spans="1:16" s="39" customFormat="1" ht="15.6" x14ac:dyDescent="0.3">
      <c r="A14" s="40" t="s">
        <v>11</v>
      </c>
      <c r="B14" s="41"/>
      <c r="C14" s="42">
        <v>164</v>
      </c>
      <c r="D14" s="42">
        <v>120</v>
      </c>
      <c r="E14" s="42">
        <v>111</v>
      </c>
      <c r="F14" s="42">
        <v>123</v>
      </c>
      <c r="G14" s="42">
        <v>136</v>
      </c>
      <c r="H14" s="42">
        <v>141</v>
      </c>
      <c r="I14" s="37">
        <v>127</v>
      </c>
      <c r="J14" s="37">
        <v>126</v>
      </c>
      <c r="K14" s="37">
        <v>102</v>
      </c>
      <c r="L14" s="37">
        <v>127</v>
      </c>
      <c r="M14" s="37">
        <v>227</v>
      </c>
      <c r="N14" s="37">
        <v>186</v>
      </c>
      <c r="O14" s="38">
        <v>1690</v>
      </c>
    </row>
    <row r="15" spans="1:16" s="39" customFormat="1" ht="15.6" x14ac:dyDescent="0.3">
      <c r="A15" s="40" t="s">
        <v>23</v>
      </c>
      <c r="B15" s="41"/>
      <c r="C15" s="42">
        <v>2</v>
      </c>
      <c r="D15" s="42">
        <v>3</v>
      </c>
      <c r="E15" s="42">
        <v>0</v>
      </c>
      <c r="F15" s="42">
        <v>1</v>
      </c>
      <c r="G15" s="42">
        <v>0</v>
      </c>
      <c r="H15" s="42">
        <v>0</v>
      </c>
      <c r="I15" s="37">
        <v>6</v>
      </c>
      <c r="J15" s="37">
        <v>6</v>
      </c>
      <c r="K15" s="37">
        <v>3</v>
      </c>
      <c r="L15" s="37">
        <v>1</v>
      </c>
      <c r="M15" s="37">
        <v>0</v>
      </c>
      <c r="N15" s="37">
        <v>4</v>
      </c>
      <c r="O15" s="38">
        <v>26</v>
      </c>
      <c r="P15" s="39" t="s">
        <v>24</v>
      </c>
    </row>
    <row r="16" spans="1:16" s="39" customFormat="1" ht="15.6" x14ac:dyDescent="0.3">
      <c r="A16" s="45" t="s">
        <v>25</v>
      </c>
      <c r="B16" s="46"/>
      <c r="C16" s="42">
        <v>450</v>
      </c>
      <c r="D16" s="42">
        <v>375</v>
      </c>
      <c r="E16" s="42">
        <v>435</v>
      </c>
      <c r="F16" s="42">
        <v>457</v>
      </c>
      <c r="G16" s="42">
        <v>451</v>
      </c>
      <c r="H16" s="42">
        <v>437</v>
      </c>
      <c r="I16" s="37">
        <v>530</v>
      </c>
      <c r="J16" s="37">
        <v>459</v>
      </c>
      <c r="K16" s="37">
        <v>436</v>
      </c>
      <c r="L16" s="37">
        <v>472</v>
      </c>
      <c r="M16" s="37">
        <v>431</v>
      </c>
      <c r="N16" s="37">
        <v>468</v>
      </c>
      <c r="O16" s="38">
        <v>5401</v>
      </c>
    </row>
    <row r="17" spans="1:15" ht="15.6" x14ac:dyDescent="0.3">
      <c r="A17" s="49" t="s">
        <v>13</v>
      </c>
      <c r="B17" s="50"/>
      <c r="C17" s="51">
        <f t="shared" ref="C17:N17" si="0">SUM(C4:C16)</f>
        <v>8504</v>
      </c>
      <c r="D17" s="51">
        <f t="shared" si="0"/>
        <v>8071</v>
      </c>
      <c r="E17" s="51">
        <f t="shared" si="0"/>
        <v>8550</v>
      </c>
      <c r="F17" s="51">
        <f t="shared" si="0"/>
        <v>8364</v>
      </c>
      <c r="G17" s="51">
        <f t="shared" si="0"/>
        <v>9023</v>
      </c>
      <c r="H17" s="51">
        <f t="shared" si="0"/>
        <v>9098</v>
      </c>
      <c r="I17" s="52">
        <f t="shared" si="0"/>
        <v>8361</v>
      </c>
      <c r="J17" s="53">
        <f t="shared" si="0"/>
        <v>7670</v>
      </c>
      <c r="K17" s="53">
        <f t="shared" si="0"/>
        <v>6982</v>
      </c>
      <c r="L17" s="53">
        <f t="shared" si="0"/>
        <v>8606</v>
      </c>
      <c r="M17" s="53">
        <f t="shared" si="0"/>
        <v>9537</v>
      </c>
      <c r="N17" s="53">
        <f t="shared" si="0"/>
        <v>8810</v>
      </c>
      <c r="O17" s="54">
        <f>SUM(C17:N17)</f>
        <v>101576</v>
      </c>
    </row>
    <row r="18" spans="1:15" x14ac:dyDescent="0.3">
      <c r="C18" s="55"/>
      <c r="D18" s="55"/>
      <c r="E18" s="55"/>
      <c r="F18" s="55"/>
      <c r="G18" s="55"/>
      <c r="H18" s="55"/>
      <c r="I18" s="56"/>
      <c r="J18" s="55"/>
      <c r="K18" s="55"/>
      <c r="L18" s="55"/>
      <c r="M18" s="55"/>
      <c r="N18" s="55"/>
      <c r="O18" s="55"/>
    </row>
    <row r="20" spans="1:15" x14ac:dyDescent="0.3">
      <c r="A20" s="57"/>
      <c r="I20" s="57"/>
    </row>
  </sheetData>
  <mergeCells count="14">
    <mergeCell ref="A15:B15"/>
    <mergeCell ref="A17:B17"/>
    <mergeCell ref="A8:B8"/>
    <mergeCell ref="A9:B9"/>
    <mergeCell ref="A11:B11"/>
    <mergeCell ref="A12:B12"/>
    <mergeCell ref="A13:B13"/>
    <mergeCell ref="A14:B14"/>
    <mergeCell ref="A2:I2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4"/>
  <sheetViews>
    <sheetView workbookViewId="0">
      <selection activeCell="S17" sqref="S17"/>
    </sheetView>
  </sheetViews>
  <sheetFormatPr defaultRowHeight="14.4" x14ac:dyDescent="0.3"/>
  <cols>
    <col min="2" max="2" width="25.6640625" customWidth="1"/>
    <col min="3" max="3" width="7.44140625" bestFit="1" customWidth="1"/>
    <col min="4" max="4" width="7.5546875" bestFit="1" customWidth="1"/>
    <col min="5" max="5" width="11.109375" bestFit="1" customWidth="1"/>
    <col min="6" max="6" width="5.6640625" customWidth="1"/>
    <col min="7" max="7" width="8.5546875" bestFit="1" customWidth="1"/>
    <col min="8" max="8" width="7.44140625" bestFit="1" customWidth="1"/>
    <col min="9" max="9" width="8.109375" customWidth="1"/>
    <col min="15" max="15" width="9.44140625" bestFit="1" customWidth="1"/>
  </cols>
  <sheetData>
    <row r="2" spans="1:16" ht="15.6" x14ac:dyDescent="0.3">
      <c r="A2" s="1" t="s">
        <v>0</v>
      </c>
      <c r="B2" s="2"/>
      <c r="C2" s="3">
        <v>45658</v>
      </c>
      <c r="D2" s="3">
        <v>45689</v>
      </c>
      <c r="E2" s="4" t="s">
        <v>1</v>
      </c>
      <c r="F2" s="4" t="s">
        <v>2</v>
      </c>
      <c r="G2" s="3">
        <v>45778</v>
      </c>
      <c r="H2" s="3">
        <v>45809</v>
      </c>
      <c r="I2" s="5">
        <v>45839</v>
      </c>
      <c r="J2" s="6">
        <v>45870</v>
      </c>
      <c r="K2" s="6">
        <v>45901</v>
      </c>
      <c r="L2" s="6">
        <v>45931</v>
      </c>
      <c r="M2" s="6">
        <v>45962</v>
      </c>
      <c r="N2" s="6">
        <v>45992</v>
      </c>
      <c r="O2" s="7" t="s">
        <v>3</v>
      </c>
    </row>
    <row r="3" spans="1:16" ht="15.6" x14ac:dyDescent="0.3">
      <c r="A3" s="8" t="s">
        <v>4</v>
      </c>
      <c r="B3" s="9"/>
      <c r="C3" s="10">
        <v>17</v>
      </c>
      <c r="D3" s="10">
        <v>15</v>
      </c>
      <c r="E3" s="10">
        <v>25</v>
      </c>
      <c r="F3" s="10">
        <v>24</v>
      </c>
      <c r="G3" s="10">
        <v>28</v>
      </c>
      <c r="H3" s="10">
        <v>32</v>
      </c>
      <c r="I3" s="11">
        <v>25</v>
      </c>
      <c r="J3" s="11">
        <v>18</v>
      </c>
      <c r="K3" s="12">
        <v>19</v>
      </c>
      <c r="L3" s="12">
        <v>26</v>
      </c>
      <c r="M3" s="12">
        <v>27</v>
      </c>
      <c r="N3" s="12">
        <v>25</v>
      </c>
      <c r="O3" s="12">
        <f t="shared" ref="O3:O10" si="0">SUM(C3:N3)</f>
        <v>281</v>
      </c>
    </row>
    <row r="4" spans="1:16" ht="15.6" x14ac:dyDescent="0.3">
      <c r="A4" s="13" t="s">
        <v>5</v>
      </c>
      <c r="B4" s="13"/>
      <c r="C4" s="14">
        <v>79</v>
      </c>
      <c r="D4" s="14">
        <v>80</v>
      </c>
      <c r="E4" s="14">
        <v>67</v>
      </c>
      <c r="F4" s="14">
        <v>59</v>
      </c>
      <c r="G4" s="14">
        <v>82</v>
      </c>
      <c r="H4" s="14">
        <v>85</v>
      </c>
      <c r="I4" s="11">
        <v>43</v>
      </c>
      <c r="J4" s="11">
        <v>59</v>
      </c>
      <c r="K4" s="12">
        <v>72</v>
      </c>
      <c r="L4" s="12">
        <v>66</v>
      </c>
      <c r="M4" s="12">
        <v>116</v>
      </c>
      <c r="N4" s="12">
        <v>100</v>
      </c>
      <c r="O4" s="12">
        <f t="shared" si="0"/>
        <v>908</v>
      </c>
    </row>
    <row r="5" spans="1:16" ht="15.6" x14ac:dyDescent="0.3">
      <c r="A5" s="13" t="s">
        <v>6</v>
      </c>
      <c r="B5" s="13"/>
      <c r="C5" s="14">
        <v>169</v>
      </c>
      <c r="D5" s="14">
        <v>141</v>
      </c>
      <c r="E5" s="14">
        <v>155</v>
      </c>
      <c r="F5" s="14">
        <v>173</v>
      </c>
      <c r="G5" s="14">
        <v>182</v>
      </c>
      <c r="H5" s="14">
        <v>183</v>
      </c>
      <c r="I5" s="11">
        <v>168</v>
      </c>
      <c r="J5" s="11">
        <v>188</v>
      </c>
      <c r="K5" s="12">
        <v>132</v>
      </c>
      <c r="L5" s="12">
        <v>166</v>
      </c>
      <c r="M5" s="12">
        <v>157</v>
      </c>
      <c r="N5" s="12">
        <v>188</v>
      </c>
      <c r="O5" s="12">
        <f t="shared" si="0"/>
        <v>2002</v>
      </c>
    </row>
    <row r="6" spans="1:16" ht="15.6" x14ac:dyDescent="0.3">
      <c r="A6" s="15" t="s">
        <v>7</v>
      </c>
      <c r="B6" s="16"/>
      <c r="C6" s="17">
        <v>1</v>
      </c>
      <c r="D6" s="17">
        <v>0</v>
      </c>
      <c r="E6" s="17">
        <v>1</v>
      </c>
      <c r="F6" s="17">
        <v>1</v>
      </c>
      <c r="G6" s="17">
        <v>2</v>
      </c>
      <c r="H6" s="17">
        <v>1</v>
      </c>
      <c r="I6" s="11">
        <v>0</v>
      </c>
      <c r="J6" s="11">
        <v>0</v>
      </c>
      <c r="K6" s="12">
        <v>0</v>
      </c>
      <c r="L6" s="12">
        <v>2</v>
      </c>
      <c r="M6" s="12">
        <v>4</v>
      </c>
      <c r="N6" s="12">
        <v>7</v>
      </c>
      <c r="O6" s="12">
        <f t="shared" si="0"/>
        <v>19</v>
      </c>
    </row>
    <row r="7" spans="1:16" ht="15.6" x14ac:dyDescent="0.3">
      <c r="A7" s="18" t="s">
        <v>8</v>
      </c>
      <c r="B7" s="19"/>
      <c r="C7" s="20">
        <v>55</v>
      </c>
      <c r="D7" s="20">
        <v>46</v>
      </c>
      <c r="E7" s="20">
        <v>50</v>
      </c>
      <c r="F7" s="20">
        <v>56</v>
      </c>
      <c r="G7" s="20">
        <v>74</v>
      </c>
      <c r="H7" s="20">
        <v>48</v>
      </c>
      <c r="I7" s="11">
        <v>78</v>
      </c>
      <c r="J7" s="21">
        <v>67</v>
      </c>
      <c r="K7" s="12">
        <v>51</v>
      </c>
      <c r="L7" s="12">
        <v>63</v>
      </c>
      <c r="M7" s="12">
        <v>60</v>
      </c>
      <c r="N7" s="12">
        <v>53</v>
      </c>
      <c r="O7" s="12">
        <f t="shared" si="0"/>
        <v>701</v>
      </c>
    </row>
    <row r="8" spans="1:16" ht="15.6" x14ac:dyDescent="0.3">
      <c r="A8" s="18" t="s">
        <v>9</v>
      </c>
      <c r="B8" s="19"/>
      <c r="C8" s="20">
        <v>1</v>
      </c>
      <c r="D8" s="20">
        <v>6</v>
      </c>
      <c r="E8" s="20">
        <v>1</v>
      </c>
      <c r="F8" s="20">
        <v>7</v>
      </c>
      <c r="G8" s="20">
        <v>3</v>
      </c>
      <c r="H8" s="20">
        <v>7</v>
      </c>
      <c r="I8" s="11">
        <v>7</v>
      </c>
      <c r="J8" s="11">
        <v>3</v>
      </c>
      <c r="K8" s="12">
        <v>2</v>
      </c>
      <c r="L8" s="12">
        <v>1</v>
      </c>
      <c r="M8" s="12">
        <v>3</v>
      </c>
      <c r="N8" s="12">
        <v>5</v>
      </c>
      <c r="O8" s="12">
        <f t="shared" si="0"/>
        <v>46</v>
      </c>
    </row>
    <row r="9" spans="1:16" ht="15.6" x14ac:dyDescent="0.3">
      <c r="A9" s="22" t="s">
        <v>10</v>
      </c>
      <c r="B9" s="23"/>
      <c r="C9" s="17">
        <v>6</v>
      </c>
      <c r="D9" s="17">
        <v>0</v>
      </c>
      <c r="E9" s="17">
        <v>1</v>
      </c>
      <c r="F9" s="17">
        <v>2</v>
      </c>
      <c r="G9" s="17">
        <v>0</v>
      </c>
      <c r="H9" s="17">
        <v>5</v>
      </c>
      <c r="I9" s="11">
        <v>2</v>
      </c>
      <c r="J9" s="11">
        <v>3</v>
      </c>
      <c r="K9" s="12">
        <v>4</v>
      </c>
      <c r="L9" s="12">
        <v>2</v>
      </c>
      <c r="M9" s="12">
        <v>3</v>
      </c>
      <c r="N9" s="12">
        <v>7</v>
      </c>
      <c r="O9" s="12">
        <f t="shared" si="0"/>
        <v>35</v>
      </c>
    </row>
    <row r="10" spans="1:16" ht="15.6" x14ac:dyDescent="0.3">
      <c r="A10" s="18" t="s">
        <v>11</v>
      </c>
      <c r="B10" s="19"/>
      <c r="C10" s="20">
        <v>31</v>
      </c>
      <c r="D10" s="20">
        <v>26</v>
      </c>
      <c r="E10" s="20">
        <v>27</v>
      </c>
      <c r="F10" s="20">
        <v>48</v>
      </c>
      <c r="G10" s="20">
        <v>24</v>
      </c>
      <c r="H10" s="20">
        <v>27</v>
      </c>
      <c r="I10" s="11">
        <v>26</v>
      </c>
      <c r="J10" s="11">
        <v>35</v>
      </c>
      <c r="K10" s="12">
        <v>23</v>
      </c>
      <c r="L10" s="12">
        <v>11</v>
      </c>
      <c r="M10" s="12">
        <v>9</v>
      </c>
      <c r="N10" s="12">
        <v>23</v>
      </c>
      <c r="O10" s="12">
        <f t="shared" si="0"/>
        <v>310</v>
      </c>
      <c r="P10" t="s">
        <v>12</v>
      </c>
    </row>
    <row r="11" spans="1:16" ht="15.6" x14ac:dyDescent="0.3">
      <c r="A11" s="24" t="s">
        <v>13</v>
      </c>
      <c r="B11" s="24"/>
      <c r="C11" s="25">
        <f t="shared" ref="C11:M11" si="1">SUM(C3:C10)</f>
        <v>359</v>
      </c>
      <c r="D11" s="25">
        <f t="shared" si="1"/>
        <v>314</v>
      </c>
      <c r="E11" s="25">
        <f t="shared" si="1"/>
        <v>327</v>
      </c>
      <c r="F11" s="25">
        <f t="shared" si="1"/>
        <v>370</v>
      </c>
      <c r="G11" s="25">
        <f t="shared" si="1"/>
        <v>395</v>
      </c>
      <c r="H11" s="25">
        <f t="shared" si="1"/>
        <v>388</v>
      </c>
      <c r="I11" s="26">
        <f t="shared" si="1"/>
        <v>349</v>
      </c>
      <c r="J11" s="26">
        <f t="shared" si="1"/>
        <v>373</v>
      </c>
      <c r="K11" s="7">
        <f t="shared" si="1"/>
        <v>303</v>
      </c>
      <c r="L11" s="7">
        <f t="shared" si="1"/>
        <v>337</v>
      </c>
      <c r="M11" s="7">
        <f t="shared" si="1"/>
        <v>379</v>
      </c>
      <c r="N11" s="7">
        <f>SUM(N3:N10)</f>
        <v>408</v>
      </c>
      <c r="O11" s="27">
        <f>SUM(O3:O10)</f>
        <v>4302</v>
      </c>
    </row>
    <row r="24" spans="1:1" x14ac:dyDescent="0.3">
      <c r="A24">
        <f ca="1">24:32</f>
        <v>0</v>
      </c>
    </row>
  </sheetData>
  <mergeCells count="9">
    <mergeCell ref="A9:B9"/>
    <mergeCell ref="A10:B10"/>
    <mergeCell ref="A11:B11"/>
    <mergeCell ref="A2:B2"/>
    <mergeCell ref="A3:B3"/>
    <mergeCell ref="A4:B4"/>
    <mergeCell ref="A5:B5"/>
    <mergeCell ref="A7:B7"/>
    <mergeCell ref="A8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OPD </vt:lpstr>
      <vt:lpstr>IP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brown</dc:creator>
  <cp:lastModifiedBy>james brown</cp:lastModifiedBy>
  <dcterms:created xsi:type="dcterms:W3CDTF">2026-09-06T19:02:49Z</dcterms:created>
  <dcterms:modified xsi:type="dcterms:W3CDTF">2026-09-06T19:05:15Z</dcterms:modified>
</cp:coreProperties>
</file>